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c728911b1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543985adb114856"/>
    <x:sheet xmlns:r="http://schemas.openxmlformats.org/officeDocument/2006/relationships" name="IC Summary" sheetId="2" r:id="Re5c71a0ea4c24a18"/>
    <x:sheet xmlns:r="http://schemas.openxmlformats.org/officeDocument/2006/relationships" name="Assumptions" sheetId="3" r:id="R82563bdfca9b448e"/>
    <x:sheet xmlns:r="http://schemas.openxmlformats.org/officeDocument/2006/relationships" name="Sources &amp; Uses" sheetId="4" r:id="Rb9acb265c9df40c3"/>
    <x:sheet xmlns:r="http://schemas.openxmlformats.org/officeDocument/2006/relationships" name="Purchase Accounting" sheetId="5" r:id="R39bae830ccb14f44"/>
    <x:sheet xmlns:r="http://schemas.openxmlformats.org/officeDocument/2006/relationships" name="Closing Bridge" sheetId="6" r:id="R4351e99d9bdb453d"/>
    <x:sheet xmlns:r="http://schemas.openxmlformats.org/officeDocument/2006/relationships" name="Operating Case" sheetId="7" r:id="R45441834af0a4764"/>
    <x:sheet xmlns:r="http://schemas.openxmlformats.org/officeDocument/2006/relationships" name="Working Capital" sheetId="8" r:id="R21a303ccc2c14de1"/>
    <x:sheet xmlns:r="http://schemas.openxmlformats.org/officeDocument/2006/relationships" name="Capex &amp; DA" sheetId="9" r:id="R06e331b8865c44d5"/>
    <x:sheet xmlns:r="http://schemas.openxmlformats.org/officeDocument/2006/relationships" name="Taxes" sheetId="10" r:id="R63bdf5d2eea945a3"/>
    <x:sheet xmlns:r="http://schemas.openxmlformats.org/officeDocument/2006/relationships" name="Debt Schedule" sheetId="11" r:id="R6665feae34ee45dd"/>
    <x:sheet xmlns:r="http://schemas.openxmlformats.org/officeDocument/2006/relationships" name="Cash Flow" sheetId="12" r:id="Re7f035c9542d4580"/>
    <x:sheet xmlns:r="http://schemas.openxmlformats.org/officeDocument/2006/relationships" name="Balance Sheet" sheetId="13" r:id="Rf351fbfa38c54dbc"/>
    <x:sheet xmlns:r="http://schemas.openxmlformats.org/officeDocument/2006/relationships" name="Returns" sheetId="14" r:id="Rb6e121acca4d40ab"/>
    <x:sheet xmlns:r="http://schemas.openxmlformats.org/officeDocument/2006/relationships" name="Sensitivities" sheetId="15" r:id="R5c78e8b15b86422d"/>
    <x:sheet xmlns:r="http://schemas.openxmlformats.org/officeDocument/2006/relationships" name="Historical &amp; Sources" sheetId="16" r:id="Rb769394ccf424f01"/>
    <x:sheet xmlns:r="http://schemas.openxmlformats.org/officeDocument/2006/relationships" name="Checks" sheetId="17" r:id="R855148ce770c41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;(#,##0.0);&quot;–&quot;"/>
    <x:numFmt numFmtId="201" formatCode="0"/>
    <x:numFmt numFmtId="202" formatCode="mmm-yy"/>
    <x:numFmt numFmtId="203" formatCode="0.00&quot;x&quot;"/>
    <x:numFmt numFmtId="204" formatCode="0.0%;(0.0%);&quot;–&quot;"/>
    <x:numFmt numFmtId="205" formatCode="mmm d, yyyy"/>
    <x:numFmt numFmtId="206" formatCode="0.00"/>
    <x:numFmt numFmtId="207" formatCode="0.0%"/>
  </x:numFmts>
  <x:fonts count="12">
    <x:font>
      <x:sz val="11"/>
      <x:name val="Carlito"/>
    </x:font>
    <x:font>
      <x:sz val="10"/>
      <x:color rgb="FF182B45"/>
      <x:name val="Arial"/>
    </x:font>
    <x:font>
      <x:b/>
      <x:sz val="16"/>
      <x:color rgb="FF182B45"/>
      <x:name val="Arial"/>
    </x:font>
    <x:font>
      <x:i/>
      <x:sz val="9"/>
      <x:color rgb="FF566579"/>
      <x:name val="Arial"/>
    </x:font>
    <x:font>
      <x:b/>
      <x:sz val="10"/>
      <x:color rgb="FFFFFFFF"/>
      <x:name val="Arial"/>
    </x:font>
    <x:font>
      <x:sz val="10"/>
      <x:color rgb="FF00804A"/>
      <x:name val="Arial"/>
    </x:font>
    <x:font>
      <x:b/>
      <x:sz val="10"/>
      <x:color rgb="FF00804A"/>
      <x:name val="Arial"/>
    </x:font>
    <x:font>
      <x:sz val="10"/>
      <x:color rgb="FF566579"/>
      <x:name val="Arial"/>
    </x:font>
    <x:font>
      <x:sz val="10"/>
      <x:color rgb="FF155AC0"/>
      <x:name val="Arial"/>
    </x:font>
    <x:font>
      <x:b/>
      <x:sz val="10"/>
      <x:color rgb="FF223B5B"/>
      <x:name val="Arial"/>
    </x:font>
    <x:font>
      <x:b/>
      <x:sz val="10"/>
      <x:color rgb="FF182B45"/>
      <x:name val="Arial"/>
    </x:font>
    <x:font>
      <x:b/>
      <x:sz val="10"/>
      <x:color rgb="FF155A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23B5B"/>
      </x:patternFill>
    </x:fill>
    <x:fill>
      <x:patternFill patternType="solid">
        <x:fgColor rgb="FFE8EDF4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2" borderId="0" xfId="0" applyNumberFormat="1" applyFont="1" applyFill="1" applyBorder="1"/>
    <x:xf numFmtId="200" fontId="4" fillId="2" borderId="0" xfId="0" applyNumberFormat="1" applyFont="1" applyFill="1" applyBorder="1"/>
    <x:xf numFmtId="200" fontId="4" fillId="2" borderId="0" xfId="0" applyNumberFormat="1" applyFont="1" applyFill="1" applyBorder="1" applyAlignment="1">
      <x:alignment horizontal="center"/>
    </x:xf>
    <x:xf numFmtId="201" fontId="4" fillId="2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202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8" fillId="0" borderId="0" xfId="0" applyNumberFormat="1" applyFont="1" applyFill="1" applyBorder="1"/>
    <x:xf numFmtId="203" fontId="5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4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1" fillId="3" borderId="0" xfId="0" applyNumberFormat="1" applyFont="1" applyFill="1" applyBorder="1"/>
    <x:xf numFmtId="200" fontId="9" fillId="3" borderId="0" xfId="0" applyNumberFormat="1" applyFont="1" applyFill="1" applyBorder="1"/>
    <x:xf numFmtId="205" fontId="8" fillId="0" borderId="0" xfId="0" applyNumberFormat="1" applyFont="1" applyFill="1" applyBorder="1"/>
    <x:xf numFmtId="201" fontId="1" fillId="0" borderId="0" xfId="0" applyNumberFormat="1" applyFont="1" applyFill="1" applyBorder="1"/>
    <x:xf numFmtId="204" fontId="4" fillId="2" borderId="0" xfId="0" applyNumberFormat="1" applyFont="1" applyFill="1" applyBorder="1" applyAlignment="1">
      <x:alignment horizontal="center"/>
    </x:xf>
    <x:xf numFmtId="201" fontId="8" fillId="0" borderId="0" xfId="0" applyNumberFormat="1" applyFont="1" applyFill="1" applyBorder="1"/>
    <x:xf numFmtId="206" fontId="1" fillId="0" borderId="0" xfId="0" applyNumberFormat="1" applyFont="1" applyFill="1" applyBorder="1"/>
    <x:xf numFmtId="200" fontId="10" fillId="0" borderId="0" xfId="0" applyNumberFormat="1" applyFont="1" applyFill="1" applyBorder="1"/>
    <x:xf numFmtId="204" fontId="11" fillId="2" borderId="0" xfId="0" applyNumberFormat="1" applyFont="1" applyFill="1" applyBorder="1" applyAlignment="1">
      <x:alignment horizontal="center"/>
    </x:xf>
    <x:xf numFmtId="204" fontId="11" fillId="4" borderId="0" xfId="0" applyNumberFormat="1" applyFont="1" applyFill="1" applyBorder="1" applyAlignment="1">
      <x:alignment horizontal="center"/>
    </x:xf>
    <x:xf numFmtId="207" fontId="11" fillId="4" borderId="0" xfId="0" applyNumberFormat="1" applyFont="1" applyFill="1" applyBorder="1" applyAlignment="1">
      <x:alignment horizontal="center"/>
    </x:xf>
    <x:xf numFmtId="207" fontId="5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A32622"/>
      </x:font>
      <x:fill>
        <x:patternFill>
          <x:bgColor rgb="FFFBE5E3"/>
        </x:patternFill>
      </x:fill>
    </x:dxf>
    <x:dxf>
      <x:font>
        <x:b/>
        <x:color rgb="FFA32622"/>
      </x:font>
      <x:fill>
        <x:patternFill>
          <x:bgColor rgb="FFFBE5E3"/>
        </x:patternFill>
      </x:fill>
    </x:dxf>
    <x:dxf>
      <x:font>
        <x:b/>
        <x:color rgb="FFA32622"/>
      </x:font>
      <x:fill>
        <x:patternFill>
          <x:bgColor rgb="FFFBE5E3"/>
        </x:patternFill>
      </x:fill>
    </x:dxf>
    <x:dxf>
      <x:font>
        <x:b/>
        <x:color rgb="FFA32622"/>
      </x:font>
      <x:fill>
        <x:patternFill>
          <x:bgColor rgb="FFFBE5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b4babe31649b6" /><Relationship Type="http://schemas.openxmlformats.org/officeDocument/2006/relationships/theme" Target="/xl/theme/theme1.xml" Id="R39f3638c89094d34" /><Relationship Type="http://schemas.openxmlformats.org/officeDocument/2006/relationships/sharedStrings" Target="/xl/sharedStrings.xml" Id="R65b2a5acb2804d04" /><Relationship Type="http://schemas.openxmlformats.org/officeDocument/2006/relationships/worksheet" Target="/xl/worksheets/sheet1.xml" Id="Rf543985adb114856" /><Relationship Type="http://schemas.openxmlformats.org/officeDocument/2006/relationships/worksheet" Target="/xl/worksheets/sheet2.xml" Id="Re5c71a0ea4c24a18" /><Relationship Type="http://schemas.openxmlformats.org/officeDocument/2006/relationships/worksheet" Target="/xl/worksheets/sheet3.xml" Id="R82563bdfca9b448e" /><Relationship Type="http://schemas.openxmlformats.org/officeDocument/2006/relationships/worksheet" Target="/xl/worksheets/sheet4.xml" Id="Rb9acb265c9df40c3" /><Relationship Type="http://schemas.openxmlformats.org/officeDocument/2006/relationships/worksheet" Target="/xl/worksheets/sheet5.xml" Id="R39bae830ccb14f44" /><Relationship Type="http://schemas.openxmlformats.org/officeDocument/2006/relationships/worksheet" Target="/xl/worksheets/sheet6.xml" Id="R4351e99d9bdb453d" /><Relationship Type="http://schemas.openxmlformats.org/officeDocument/2006/relationships/worksheet" Target="/xl/worksheets/sheet7.xml" Id="R45441834af0a4764" /><Relationship Type="http://schemas.openxmlformats.org/officeDocument/2006/relationships/worksheet" Target="/xl/worksheets/sheet8.xml" Id="R21a303ccc2c14de1" /><Relationship Type="http://schemas.openxmlformats.org/officeDocument/2006/relationships/worksheet" Target="/xl/worksheets/sheet9.xml" Id="R06e331b8865c44d5" /><Relationship Type="http://schemas.openxmlformats.org/officeDocument/2006/relationships/worksheet" Target="/xl/worksheets/sheet10.xml" Id="R63bdf5d2eea945a3" /><Relationship Type="http://schemas.openxmlformats.org/officeDocument/2006/relationships/worksheet" Target="/xl/worksheets/sheet11.xml" Id="R6665feae34ee45dd" /><Relationship Type="http://schemas.openxmlformats.org/officeDocument/2006/relationships/worksheet" Target="/xl/worksheets/sheet12.xml" Id="Re7f035c9542d4580" /><Relationship Type="http://schemas.openxmlformats.org/officeDocument/2006/relationships/worksheet" Target="/xl/worksheets/sheet13.xml" Id="Rf351fbfa38c54dbc" /><Relationship Type="http://schemas.openxmlformats.org/officeDocument/2006/relationships/worksheet" Target="/xl/worksheets/sheet14.xml" Id="Rb6e121acca4d40ab" /><Relationship Type="http://schemas.openxmlformats.org/officeDocument/2006/relationships/worksheet" Target="/xl/worksheets/sheet15.xml" Id="R5c78e8b15b86422d" /><Relationship Type="http://schemas.openxmlformats.org/officeDocument/2006/relationships/worksheet" Target="/xl/worksheets/sheet16.xml" Id="Rb769394ccf424f01" /><Relationship Type="http://schemas.openxmlformats.org/officeDocument/2006/relationships/worksheet" Target="/xl/worksheets/sheet17.xml" Id="R855148ce770c41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ff7fd3d5b445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EBITDA and debt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EBITDA</c:v>
          </c:tx>
          <c:spPr>
            <a:ln xmlns:a="http://schemas.openxmlformats.org/drawingml/2006/main" w="19050">
              <a:solidFill>
                <a:srgbClr val="337E78"/>
              </a:solidFill>
              <a:prstDash val="solid"/>
            </a:ln>
          </c:spPr>
          <c:marker>
            <c:symbol val="none"/>
          </c:marker>
          <c:cat>
            <c:strRef>
              <c:f>'IC Summary'!$C$35:$C$39</c:f>
              <c:strCache>
                <c:ptCount val="0"/>
              </c:strCache>
            </c:strRef>
          </c:cat>
          <c:val>
            <c:numRef>
              <c:f>'IC Summary'!$D$35:$D$39</c:f>
              <c:numCache>
                <c:formatCode>#,##0.0;(#,##0.0);"–"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Ending debt</c:v>
          </c:tx>
          <c:spPr>
            <a:ln xmlns:a="http://schemas.openxmlformats.org/drawingml/2006/main" w="19050">
              <a:solidFill>
                <a:srgbClr val="223B5B"/>
              </a:solidFill>
              <a:prstDash val="solid"/>
            </a:ln>
          </c:spPr>
          <c:marker>
            <c:symbol val="none"/>
          </c:marker>
          <c:cat>
            <c:strRef>
              <c:f>'IC Summary'!$C$35:$C$39</c:f>
              <c:strCache>
                <c:ptCount val="0"/>
              </c:strCache>
            </c:strRef>
          </c:cat>
          <c:val>
            <c:numRef>
              <c:f>'IC Summary'!$E$35:$E$39</c:f>
              <c:numCache>
                <c:formatCode>#,##0.0;(#,##0.0);"–"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9</xdr:row>
      <xdr:rowOff>0</xdr:rowOff>
    </xdr:from>
    <xdr:to>
      <xdr:col>20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ff7fd3d5b445b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b3976fe25534da4" /></Relationships>
</file>

<file path=xl/worksheets/sheet1.xml><?xml version="1.0" encoding="utf-8"?>
<x:worksheet xmlns:x="http://schemas.openxmlformats.org/spreadsheetml/2006/main">
  <x:sheetPr>
    <x:tabColor rgb="FF223B5B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MOCK LBO / ENERGIZER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/>
      <x:c r="D5" s="2"/>
      <x:c r="E5" s="10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 t="str">
        <x:v>Energizer Holdings, Inc.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 t="str">
        <x:v>Hypothetical practice acquisition</x:v>
      </x:c>
      <x:c r="D8"/>
      <x:c r="E8"/>
      <x:c r="F8"/>
      <x:c r="G8"/>
      <x:c r="H8"/>
      <x:c r="I8" s="2"/>
      <x:c r="J8" s="2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32" customHeight="1">
      <x:c r="A11" s="2"/>
      <x:c r="B11" s="2"/>
      <x:c r="C11" s="13" t="str">
        <x:v>Information cutoff: November 30, 2025. Assumed close: December 31, 2025. Assumed exit: December 31, 2030.</x:v>
      </x:c>
      <x:c r="D11" s="13"/>
      <x:c r="E11" s="13"/>
      <x:c r="F11" s="13"/>
      <x:c r="G11" s="13"/>
      <x:c r="H11" s="13"/>
      <x:c r="I11" s="13"/>
      <x:c r="J11" s="13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32" customHeight="1">
      <x:c r="A14" s="2"/>
      <x:c r="B14" s="2"/>
      <x:c r="C14" s="13" t="str">
        <x:v>Start with IC Summary. Change the case and valuation controls on Sensitivities, then operating drivers on Assumptions.</x:v>
      </x:c>
      <x:c r="D14" s="13"/>
      <x:c r="E14" s="13"/>
      <x:c r="F14" s="13"/>
      <x:c r="G14" s="13"/>
      <x:c r="H14" s="13"/>
      <x:c r="I14" s="13"/>
      <x:c r="J14" s="13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32" customHeight="1">
      <x:c r="A17" s="2"/>
      <x:c r="B17" s="2"/>
      <x:c r="C17" s="13" t="str">
        <x:v>Historical FY2023–FY2025 figures are sourced. The closing bridge and every acquisition/forecast term are assumptions.</x:v>
      </x:c>
      <x:c r="D17" s="13"/>
      <x:c r="E17" s="13"/>
      <x:c r="F17" s="13"/>
      <x:c r="G17" s="13"/>
      <x:c r="H17" s="13"/>
      <x:c r="I17" s="13"/>
      <x:c r="J17" s="13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32" customHeight="1">
      <x:c r="A20" s="2"/>
      <x:c r="B20" s="2"/>
      <x:c r="C20" s="13" t="str">
        <x:v>Read Checks after changing inputs. A balanced model can still be insolvent. Unfunded cases do not have valid funded returns.</x:v>
      </x:c>
      <x:c r="D20" s="13"/>
      <x:c r="E20" s="13"/>
      <x:c r="F20" s="13"/>
      <x:c r="G20" s="13"/>
      <x:c r="H20" s="13"/>
      <x:c r="I20" s="13"/>
      <x:c r="J20" s="13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32" customHeight="1">
      <x:c r="A23" s="2"/>
      <x:c r="B23" s="2"/>
      <x:c r="C23" s="13" t="str">
        <x:v>Excel for Mac: enable Automatic calculation including data tables. No macros, live feeds or external workbook links.</x:v>
      </x:c>
      <x:c r="D23" s="13"/>
      <x:c r="E23" s="13"/>
      <x:c r="F23" s="13"/>
      <x:c r="G23" s="13"/>
      <x:c r="H23" s="13"/>
      <x:c r="I23" s="13"/>
      <x:c r="J23" s="13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32" customHeight="1">
      <x:c r="A26" s="2"/>
      <x:c r="B26" s="2"/>
      <x:c r="C26" s="13" t="str">
        <x:v>Educational research only. Not transaction, tax or investment advice. No real-money trading or lending decisions.</x:v>
      </x:c>
      <x:c r="D26" s="13"/>
      <x:c r="E26" s="13"/>
      <x:c r="F26" s="13"/>
      <x:c r="G26" s="13"/>
      <x:c r="H26" s="13"/>
      <x:c r="I26" s="13"/>
      <x:c r="J26" s="13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 ht="32" customHeight="1">
      <x:c r="A29" s="2"/>
      <x:c r="B29" s="2"/>
      <x:c r="C29" s="13" t="str">
        <x:v>Repository includes source provenance, formulas, assumptions, independent Python calculations and validation evidence.</x:v>
      </x:c>
      <x:c r="D29" s="13"/>
      <x:c r="E29" s="13"/>
      <x:c r="F29" s="13"/>
      <x:c r="G29" s="13"/>
      <x:c r="H29" s="13"/>
      <x:c r="I29" s="13"/>
      <x:c r="J29" s="13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</x:sheetData>
  <x:mergeCells>
    <x:mergeCell ref="C11:J11"/>
    <x:mergeCell ref="C14:J14"/>
    <x:mergeCell ref="C17:J17"/>
    <x:mergeCell ref="C20:J20"/>
    <x:mergeCell ref="C23:J23"/>
    <x:mergeCell ref="C26:J26"/>
    <x:mergeCell ref="C29:J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23B5B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IC Summary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/>
      <x:c r="E8"/>
      <x:c r="F8"/>
      <x:c r="G8"/>
      <x:c r="H8"/>
      <x:c r="I8" s="2"/>
      <x:c r="J8" s="2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Entry enterprise value</x:v>
      </x:c>
      <x:c r="D10" s="2" t="n">
        <x:f>'Sources &amp; Uses'!D10</x:f>
        <x:v>4806.000000000001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20" customHeight="1">
      <x:c r="A11" s="2"/>
      <x:c r="B11" s="2"/>
      <x:c r="C11" s="2" t="str">
        <x:v>Sponsor equity</x:v>
      </x:c>
      <x:c r="D11" s="2" t="n">
        <x:f>'Sources &amp; Uses'!D31</x:f>
        <x:v>2521.5140000000006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0" customHeight="1">
      <x:c r="A12" s="2"/>
      <x:c r="B12" s="2"/>
      <x:c r="C12" s="2" t="str">
        <x:v>Underwritten entry EBITDA</x:v>
      </x:c>
      <x:c r="D12" s="2" t="n">
        <x:f>'Historical &amp; Sources'!D97</x:f>
        <x:v>534.0000000000001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20" customHeight="1">
      <x:c r="A13" s="2"/>
      <x:c r="B13" s="2"/>
      <x:c r="C13" s="2" t="str">
        <x:v>Exit EBITDA</x:v>
      </x:c>
      <x:c r="D13" s="2" t="n">
        <x:f>'Returns'!D13</x:f>
        <x:v>639.8498291603161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0" customHeight="1">
      <x:c r="A15" s="2"/>
      <x:c r="B15" s="2"/>
      <x:c r="C15" s="2" t="str">
        <x:v>Sponsor MOIC</x:v>
      </x:c>
      <x:c r="D15" s="14" t="n">
        <x:f>'Returns'!D24</x:f>
        <x:v>1.6653701127742704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 t="str">
        <x:v>Sponsor XIRR</x:v>
      </x:c>
      <x:c r="D16" s="15" t="n">
        <x:f>'Returns'!D25</x:f>
        <x:v>0.10733210443824522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0" customHeight="1">
      <x:c r="A18" s="2"/>
      <x:c r="B18" s="2"/>
      <x:c r="C18" s="2" t="str">
        <x:v>Maximum liquidity shortfall</x:v>
      </x:c>
      <x:c r="D18" s="2" t="n">
        <x:f>'Returns'!D22</x:f>
        <x:v>0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20" customHeight="1">
      <x:c r="A20" s="2"/>
      <x:c r="B20" s="2"/>
      <x:c r="C20" s="2" t="str">
        <x:v>Funding outcome</x:v>
      </x:c>
      <x:c r="D20" s="29" t="str">
        <x:f>IF('Returns'!D22&gt;0.000001,"UNFUNDED — RETURNS N.A.","Funded under stated assumptions")</x:f>
        <x:v>Funded under stated assumptions</x:v>
      </x:c>
      <x:c r="E20" s="29"/>
      <x:c r="F20" s="29"/>
      <x:c r="G20" s="29"/>
      <x:c r="H20" s="29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32" customHeight="1">
      <x:c r="A23" s="2"/>
      <x:c r="B23" s="2"/>
      <x:c r="C23" s="13" t="str">
        <x:v>Practice-case conclusion: returns depend on cash conversion and debt paydown. No multiple expansion in the default case.</x:v>
      </x:c>
      <x:c r="D23" s="13"/>
      <x:c r="E23" s="13"/>
      <x:c r="F23" s="13"/>
      <x:c r="G23" s="13"/>
      <x:c r="H23" s="13"/>
      <x:c r="I23" s="13"/>
      <x:c r="J23" s="13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32" customHeight="1">
      <x:c r="A25" s="2"/>
      <x:c r="B25" s="2"/>
      <x:c r="C25" s="13" t="str">
        <x:v>Drivers: segment volume and price, cash gross margin, working-capital days, capex and financing cost.</x:v>
      </x:c>
      <x:c r="D25" s="13"/>
      <x:c r="E25" s="13"/>
      <x:c r="F25" s="13"/>
      <x:c r="G25" s="13"/>
      <x:c r="H25" s="13"/>
      <x:c r="I25" s="13"/>
      <x:c r="J25" s="13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32" customHeight="1">
      <x:c r="A27" s="2"/>
      <x:c r="B27" s="2"/>
      <x:c r="C27" s="13" t="str">
        <x:v>Risks: lower demand, tariffs/input costs, repeated restructuring, inventory funding and limited revolver capacity.</x:v>
      </x:c>
      <x:c r="D27" s="13"/>
      <x:c r="E27" s="13"/>
      <x:c r="F27" s="13"/>
      <x:c r="G27" s="13"/>
      <x:c r="H27" s="13"/>
      <x:c r="I27" s="13"/>
      <x:c r="J27" s="13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 ht="32" customHeight="1">
      <x:c r="A29" s="2"/>
      <x:c r="B29" s="2"/>
      <x:c r="C29" s="13" t="str">
        <x:v>Earnings quality: no production-credit benefit or share-compensation addback in underwritten EBITDA.</x:v>
      </x:c>
      <x:c r="D29" s="13"/>
      <x:c r="E29" s="13"/>
      <x:c r="F29" s="13"/>
      <x:c r="G29" s="13"/>
      <x:c r="H29" s="13"/>
      <x:c r="I29" s="13"/>
      <x:c r="J29" s="13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 ht="32" customHeight="1">
      <x:c r="A31" s="2"/>
      <x:c r="B31" s="2"/>
      <x:c r="C31" s="13" t="str">
        <x:v>This is a hypothetical practice acquisition. Educational research only. Not transaction or investment advice.</x:v>
      </x:c>
      <x:c r="D31" s="13"/>
      <x:c r="E31" s="13"/>
      <x:c r="F31" s="13"/>
      <x:c r="G31" s="13"/>
      <x:c r="H31" s="13"/>
      <x:c r="I31" s="13"/>
      <x:c r="J31" s="13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 ht="20" customHeight="1">
      <x:c r="A34" s="2"/>
      <x:c r="B34" s="2"/>
      <x:c r="C34" s="2" t="str">
        <x:v>Year</x:v>
      </x:c>
      <x:c r="D34" s="2" t="str">
        <x:v>EBITDA</x:v>
      </x:c>
      <x:c r="E34" s="2" t="str">
        <x:v>Ending debt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 ht="20" customHeight="1">
      <x:c r="A35" s="2"/>
      <x:c r="B35" s="2"/>
      <x:c r="C35" s="25" t="str">
        <x:v>2026</x:v>
      </x:c>
      <x:c r="D35" s="2" t="n">
        <x:f>'Operating Case'!D28</x:f>
        <x:v>506.60894745608414</x:v>
      </x:c>
      <x:c r="E35" s="2" t="n">
        <x:f>'Debt Schedule'!D53</x:f>
        <x:v>2351.62934088116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 ht="20" customHeight="1">
      <x:c r="A36" s="2"/>
      <x:c r="B36" s="2"/>
      <x:c r="C36" s="25" t="str">
        <x:v>2027</x:v>
      </x:c>
      <x:c r="D36" s="2" t="n">
        <x:f>'Operating Case'!E28</x:f>
        <x:v>519.2323427024121</x:v>
      </x:c>
      <x:c r="E36" s="2" t="n">
        <x:f>'Debt Schedule'!E53</x:f>
        <x:v>2198.6559573522345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 ht="20" customHeight="1">
      <x:c r="A37" s="2"/>
      <x:c r="B37" s="2"/>
      <x:c r="C37" s="25" t="str">
        <x:v>2028</x:v>
      </x:c>
      <x:c r="D37" s="2" t="n">
        <x:f>'Operating Case'!F28</x:f>
        <x:v>557.6012742564844</x:v>
      </x:c>
      <x:c r="E37" s="2" t="n">
        <x:f>'Debt Schedule'!F53</x:f>
        <x:v>1990.000459110361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 ht="20" customHeight="1">
      <x:c r="A38" s="2"/>
      <x:c r="B38" s="2"/>
      <x:c r="C38" s="25" t="str">
        <x:v>2029</x:v>
      </x:c>
      <x:c r="D38" s="2" t="n">
        <x:f>'Operating Case'!G28</x:f>
        <x:v>597.7821462583755</x:v>
      </x:c>
      <x:c r="E38" s="2" t="n">
        <x:f>'Debt Schedule'!G53</x:f>
        <x:v>1733.679318876366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 ht="20" customHeight="1">
      <x:c r="A39" s="2"/>
      <x:c r="B39" s="2"/>
      <x:c r="C39" s="25" t="str">
        <x:v>2030</x:v>
      </x:c>
      <x:c r="D39" s="2" t="n">
        <x:f>'Operating Case'!H28</x:f>
        <x:v>639.8498291603161</x:v>
      </x:c>
      <x:c r="E39" s="2" t="n">
        <x:f>'Debt Schedule'!H53</x:f>
        <x:v>1434.2146809642998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</x:sheetData>
  <x:mergeCells>
    <x:mergeCell ref="C23:J23"/>
    <x:mergeCell ref="C25:J25"/>
    <x:mergeCell ref="C27:J27"/>
    <x:mergeCell ref="C29:J29"/>
    <x:mergeCell ref="C31:J31"/>
    <x:mergeCell ref="D20:H20"/>
  </x:mergeCells>
  <x:pageMargins left="0.7" right="0.7" top="0.75" bottom="0.75" header="0.3" footer="0.3"/>
  <x:drawing xmlns:r="http://schemas.openxmlformats.org/officeDocument/2006/relationships" r:id="R7b3976fe25534da4"/>
</x:worksheet>
</file>

<file path=xl/worksheets/sheet3.xml><?xml version="1.0" encoding="utf-8"?>
<x:worksheet xmlns:x="http://schemas.openxmlformats.org/spreadsheetml/2006/main">
  <x:sheetPr>
    <x:tabColor rgb="FF6489AB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Assumptions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 s="8" t="n">
        <x:v>2026</x:v>
      </x:c>
      <x:c r="E8" s="8" t="n">
        <x:v>2027</x:v>
      </x:c>
      <x:c r="F8" s="8" t="n">
        <x:v>2028</x:v>
      </x:c>
      <x:c r="G8" s="8" t="n">
        <x:v>2029</x:v>
      </x:c>
      <x:c r="H8" s="8" t="n">
        <x:v>2030</x:v>
      </x:c>
      <x:c r="I8" s="2"/>
      <x:c r="J8" s="2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entry multiple</x:v>
      </x:c>
      <x:c r="D10" s="17" t="n">
        <x:f>'Sensitivities'!D6</x:f>
        <x:v>9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20" customHeight="1">
      <x:c r="A11" s="2"/>
      <x:c r="B11" s="2"/>
      <x:c r="C11" s="2" t="str">
        <x:v>exit multiple</x:v>
      </x:c>
      <x:c r="D11" s="17" t="n">
        <x:f>'Sensitivities'!D7</x:f>
        <x:v>9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0" customHeight="1">
      <x:c r="A12" s="2"/>
      <x:c r="B12" s="2"/>
      <x:c r="C12" s="2" t="str">
        <x:v>senior leverage</x:v>
      </x:c>
      <x:c r="D12" s="18" t="n">
        <x:v>3.5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20" customHeight="1">
      <x:c r="A13" s="2"/>
      <x:c r="B13" s="2"/>
      <x:c r="C13" s="2" t="str">
        <x:v>junior leverage</x:v>
      </x:c>
      <x:c r="D13" s="18" t="n">
        <x:v>1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20" customHeight="1">
      <x:c r="A14" s="2"/>
      <x:c r="B14" s="2"/>
      <x:c r="C14" s="2" t="str">
        <x:v>revolver leverage</x:v>
      </x:c>
      <x:c r="D14" s="18" t="n">
        <x:v>0.75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0" customHeight="1">
      <x:c r="A15" s="2"/>
      <x:c r="B15" s="2"/>
      <x:c r="C15" s="2" t="str">
        <x:v>transaction fee rate</x:v>
      </x:c>
      <x:c r="D15" s="19" t="n">
        <x:v>0.02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 t="str">
        <x:v>debt fee rate</x:v>
      </x:c>
      <x:c r="D16" s="19" t="n">
        <x:v>0.02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20" customHeight="1">
      <x:c r="A17" s="2"/>
      <x:c r="B17" s="2"/>
      <x:c r="C17" s="2" t="str">
        <x:v>revolver fee rate</x:v>
      </x:c>
      <x:c r="D17" s="19" t="n">
        <x:v>0.01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0" customHeight="1">
      <x:c r="A18" s="2"/>
      <x:c r="B18" s="2"/>
      <x:c r="C18" s="2" t="str">
        <x:v>exit fee rate</x:v>
      </x:c>
      <x:c r="D18" s="19" t="n">
        <x:v>0.015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0" customHeight="1">
      <x:c r="A19" s="2"/>
      <x:c r="B19" s="2"/>
      <x:c r="C19" s="2" t="str">
        <x:v>minimum cash rate</x:v>
      </x:c>
      <x:c r="D19" s="19" t="n">
        <x:v>0.02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20" customHeight="1">
      <x:c r="A20" s="2"/>
      <x:c r="B20" s="2"/>
      <x:c r="C20" s="2" t="str">
        <x:v>senior amort rate</x:v>
      </x:c>
      <x:c r="D20" s="19" t="n">
        <x:v>0.01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20" customHeight="1">
      <x:c r="A21" s="2"/>
      <x:c r="B21" s="2"/>
      <x:c r="C21" s="2" t="str">
        <x:v>lease amort annual</x:v>
      </x:c>
      <x:c r="D21" s="16" t="n">
        <x:v>1.5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0" customHeight="1">
      <x:c r="A22" s="2"/>
      <x:c r="B22" s="2"/>
      <x:c r="C22" s="2" t="str">
        <x:v>senior spread</x:v>
      </x:c>
      <x:c r="D22" s="19" t="n">
        <x:v>0.04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20" customHeight="1">
      <x:c r="A23" s="2"/>
      <x:c r="B23" s="2"/>
      <x:c r="C23" s="2" t="str">
        <x:v>revolver spread</x:v>
      </x:c>
      <x:c r="D23" s="19" t="n">
        <x:v>0.035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 t="str">
        <x:v>rate floor</x:v>
      </x:c>
      <x:c r="D24" s="19" t="n">
        <x:v>0.01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20" customHeight="1">
      <x:c r="A25" s="2"/>
      <x:c r="B25" s="2"/>
      <x:c r="C25" s="2" t="str">
        <x:v>junior rate</x:v>
      </x:c>
      <x:c r="D25" s="19" t="n">
        <x:v>0.11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20" customHeight="1">
      <x:c r="A26" s="2"/>
      <x:c r="B26" s="2"/>
      <x:c r="C26" s="2" t="str">
        <x:v>lease rate</x:v>
      </x:c>
      <x:c r="D26" s="19" t="n">
        <x:v>0.062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20" customHeight="1">
      <x:c r="A27" s="2"/>
      <x:c r="B27" s="2"/>
      <x:c r="C27" s="2" t="str">
        <x:v>commitment fee rate</x:v>
      </x:c>
      <x:c r="D27" s="19" t="n">
        <x:v>0.005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20" customHeight="1">
      <x:c r="A28" s="2"/>
      <x:c r="B28" s="2"/>
      <x:c r="C28" s="2" t="str">
        <x:v>cash sweep</x:v>
      </x:c>
      <x:c r="D28" s="19" t="n">
        <x:v>1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 ht="20" customHeight="1">
      <x:c r="A29" s="2"/>
      <x:c r="B29" s="2"/>
      <x:c r="C29" s="2" t="str">
        <x:v>debt fee life years</x:v>
      </x:c>
      <x:c r="D29" s="16" t="n">
        <x:v>6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 ht="20" customHeight="1">
      <x:c r="A30" s="2"/>
      <x:c r="B30" s="2"/>
      <x:c r="C30" s="2" t="str">
        <x:v>revolver fee life years</x:v>
      </x:c>
      <x:c r="D30" s="16" t="n">
        <x:v>5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 ht="20" customHeight="1">
      <x:c r="A31" s="2"/>
      <x:c r="B31" s="2"/>
      <x:c r="C31" s="2" t="str">
        <x:v>ppe stepup</x:v>
      </x:c>
      <x:c r="D31" s="16" t="n">
        <x:v>40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 ht="20" customHeight="1">
      <x:c r="A32" s="2"/>
      <x:c r="B32" s="2"/>
      <x:c r="C32" s="2" t="str">
        <x:v>intangible stepup</x:v>
      </x:c>
      <x:c r="D32" s="16" t="n">
        <x:v>400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 ht="20" customHeight="1">
      <x:c r="A33" s="2"/>
      <x:c r="B33" s="2"/>
      <x:c r="C33" s="2" t="str">
        <x:v>ppa life years</x:v>
      </x:c>
      <x:c r="D33" s="16" t="n">
        <x:v>10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 ht="20" customHeight="1">
      <x:c r="A34" s="2"/>
      <x:c r="B34" s="2"/>
      <x:c r="C34" s="2" t="str">
        <x:v>tax rate</x:v>
      </x:c>
      <x:c r="D34" s="19" t="n">
        <x:v>0.25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 ht="20" customHeight="1">
      <x:c r="A35" s="2"/>
      <x:c r="B35" s="2"/>
      <x:c r="C35" s="2" t="str">
        <x:v>interest limit ebitda</x:v>
      </x:c>
      <x:c r="D35" s="19" t="n">
        <x:v>0.3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 ht="20" customHeight="1">
      <x:c r="A36" s="2"/>
      <x:c r="B36" s="2"/>
      <x:c r="C36" s="2" t="str">
        <x:v>recurring cost reserve</x:v>
      </x:c>
      <x:c r="D36" s="16" t="n">
        <x:v>20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 ht="20" customHeight="1">
      <x:c r="A37" s="2"/>
      <x:c r="B37" s="2"/>
      <x:c r="C37" s="2" t="str">
        <x:v>nol limit</x:v>
      </x:c>
      <x:c r="D37" s="19" t="n">
        <x:v>0.8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 ht="20" customHeight="1">
      <x:c r="A38" s="2"/>
      <x:c r="B38" s="2"/>
      <x:c r="C38" s="2" t="str">
        <x:v>old ppe life years</x:v>
      </x:c>
      <x:c r="D38" s="16" t="n">
        <x:v>6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 ht="20" customHeight="1">
      <x:c r="A39" s="2"/>
      <x:c r="B39" s="2"/>
      <x:c r="C39" s="2" t="str">
        <x:v>new ppe life years</x:v>
      </x:c>
      <x:c r="D39" s="16" t="n">
        <x:v>8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 ht="20" customHeight="1">
      <x:c r="A40" s="2"/>
      <x:c r="B40" s="2"/>
      <x:c r="C40" s="2" t="str">
        <x:v>old intangible amort annual</x:v>
      </x:c>
      <x:c r="D40" s="16" t="n">
        <x:v>51.6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 ht="20" customHeight="1">
      <x:c r="A41" s="2"/>
      <x:c r="B41" s="2"/>
      <x:c r="C41" s="2" t="str">
        <x:v>bridge volume growth</x:v>
      </x:c>
      <x:c r="D41" s="19" t="n">
        <x:v>-0.03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 ht="20" customHeight="1">
      <x:c r="A42" s="2"/>
      <x:c r="B42" s="2"/>
      <x:c r="C42" s="2" t="str">
        <x:v>bridge price growth</x:v>
      </x:c>
      <x:c r="D42" s="19" t="n">
        <x:v>0.02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 ht="20" customHeight="1">
      <x:c r="A43" s="2"/>
      <x:c r="B43" s="2"/>
      <x:c r="C43" s="2" t="str">
        <x:v>bridge interest annual</x:v>
      </x:c>
      <x:c r="D43" s="16" t="n">
        <x:v>154.3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 ht="20" customHeight="1">
      <x:c r="A44" s="2"/>
      <x:c r="B44" s="2"/>
      <x:c r="C44" s="2" t="str">
        <x:v>bridge debt amort</x:v>
      </x:c>
      <x:c r="D44" s="16" t="n">
        <x:v>2.15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 ht="20" customHeight="1">
      <x:c r="A45" s="2"/>
      <x:c r="B45" s="2"/>
      <x:c r="C45" s="2" t="str">
        <x:v>bridge fee amort</x:v>
      </x:c>
      <x:c r="D45" s="16" t="n">
        <x:v>1.395</x:v>
      </x:c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 ht="32" customHeight="1">
      <x:c r="A47" s="2"/>
      <x:c r="B47" s="2"/>
      <x:c r="C47" s="13" t="str">
        <x:v>All blue inputs are hypothetical. See docs/assumptions.md for rationale and limitations.</x:v>
      </x:c>
      <x:c r="D47" s="13"/>
      <x:c r="E47" s="13"/>
      <x:c r="F47" s="13"/>
      <x:c r="G47" s="13"/>
      <x:c r="H47" s="13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 ht="20" customHeight="1">
      <x:c r="A48" s="2"/>
      <x:c r="B48" s="2"/>
      <x:c r="C48" s="2" t="str">
        <x:v>Missing / nonnumeric active inputs</x:v>
      </x:c>
      <x:c r="D48" s="21" t="n">
        <x:f>36-COUNT(D10:D45)+IF(ISNUMBER('Sensitivities'!D5),0,1)+IF(ISNUMBER('Sensitivities'!D6),0,1)+IF(ISNUMBER('Sensitivities'!D7),0,1)+IF(ISNUMBER('Sensitivities'!D8),0,1)+IF(ISNUMBER('Sensitivities'!D9),0,1)+60-COUNT(D51:H51)-COUNT(D56:H56)-COUNT(D61:H61)-COUNT(D66:H66)-COUNT(D71:H71)-COUNT(D76:H76)-COUNT(D81:H81)-COUNT(D86:H86)-COUNT(D91:H91)-COUNT(D96:H96)-COUNT(D101:H101)-COUNT(D106:H106)</x:f>
        <x:v>0</x:v>
      </x:c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 ht="20" customHeight="1">
      <x:c r="A51" s="2"/>
      <x:c r="B51" s="2"/>
      <x:c r="C51" s="2" t="str">
        <x:v>battery volume — active</x:v>
      </x:c>
      <x:c r="D51" s="20" t="n">
        <x:f>CHOOSE('Sensitivities'!$D$5,D52,D53,D54)</x:f>
        <x:v>-0.01</x:v>
      </x:c>
      <x:c r="E51" s="20" t="n">
        <x:f>CHOOSE('Sensitivities'!$D$5,E52,E53,E54)</x:f>
        <x:v>0</x:v>
      </x:c>
      <x:c r="F51" s="20" t="n">
        <x:f>CHOOSE('Sensitivities'!$D$5,F52,F53,F54)</x:f>
        <x:v>0.01</x:v>
      </x:c>
      <x:c r="G51" s="20" t="n">
        <x:f>CHOOSE('Sensitivities'!$D$5,G52,G53,G54)</x:f>
        <x:v>0.01</x:v>
      </x:c>
      <x:c r="H51" s="20" t="n">
        <x:f>CHOOSE('Sensitivities'!$D$5,H52,H53,H54)</x:f>
        <x:v>0.01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 ht="20" customHeight="1">
      <x:c r="A52" s="2"/>
      <x:c r="B52" s="2"/>
      <x:c r="C52" s="2" t="str">
        <x:v>Base</x:v>
      </x:c>
      <x:c r="D52" s="19" t="n">
        <x:v>-0.01</x:v>
      </x:c>
      <x:c r="E52" s="19" t="n">
        <x:v>0</x:v>
      </x:c>
      <x:c r="F52" s="19" t="n">
        <x:v>0.01</x:v>
      </x:c>
      <x:c r="G52" s="19" t="n">
        <x:v>0.01</x:v>
      </x:c>
      <x:c r="H52" s="19" t="n">
        <x:v>0.01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 ht="20" customHeight="1">
      <x:c r="A53" s="2"/>
      <x:c r="B53" s="2"/>
      <x:c r="C53" s="2" t="str">
        <x:v>Downside</x:v>
      </x:c>
      <x:c r="D53" s="19" t="n">
        <x:v>-0.08</x:v>
      </x:c>
      <x:c r="E53" s="19" t="n">
        <x:v>-0.04</x:v>
      </x:c>
      <x:c r="F53" s="19" t="n">
        <x:v>-0.02</x:v>
      </x:c>
      <x:c r="G53" s="19" t="n">
        <x:v>0</x:v>
      </x:c>
      <x:c r="H53" s="19" t="n">
        <x:v>0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 ht="20" customHeight="1">
      <x:c r="A54" s="2"/>
      <x:c r="B54" s="2"/>
      <x:c r="C54" s="2" t="str">
        <x:v>Upside</x:v>
      </x:c>
      <x:c r="D54" s="19" t="n">
        <x:v>0.02</x:v>
      </x:c>
      <x:c r="E54" s="19" t="n">
        <x:v>0.025</x:v>
      </x:c>
      <x:c r="F54" s="19" t="n">
        <x:v>0.025</x:v>
      </x:c>
      <x:c r="G54" s="19" t="n">
        <x:v>0.02</x:v>
      </x:c>
      <x:c r="H54" s="19" t="n">
        <x:v>0.02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 ht="20" customHeight="1">
      <x:c r="A56" s="2"/>
      <x:c r="B56" s="2"/>
      <x:c r="C56" s="2" t="str">
        <x:v>auto volume — active</x:v>
      </x:c>
      <x:c r="D56" s="20" t="n">
        <x:f>CHOOSE('Sensitivities'!$D$5,D57,D58,D59)</x:f>
        <x:v>0</x:v>
      </x:c>
      <x:c r="E56" s="20" t="n">
        <x:f>CHOOSE('Sensitivities'!$D$5,E57,E58,E59)</x:f>
        <x:v>0.01</x:v>
      </x:c>
      <x:c r="F56" s="20" t="n">
        <x:f>CHOOSE('Sensitivities'!$D$5,F57,F58,F59)</x:f>
        <x:v>0.015</x:v>
      </x:c>
      <x:c r="G56" s="20" t="n">
        <x:f>CHOOSE('Sensitivities'!$D$5,G57,G58,G59)</x:f>
        <x:v>0.015</x:v>
      </x:c>
      <x:c r="H56" s="20" t="n">
        <x:f>CHOOSE('Sensitivities'!$D$5,H57,H58,H59)</x:f>
        <x:v>0.015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 ht="20" customHeight="1">
      <x:c r="A57" s="2"/>
      <x:c r="B57" s="2"/>
      <x:c r="C57" s="2" t="str">
        <x:v>Base</x:v>
      </x:c>
      <x:c r="D57" s="19" t="n">
        <x:v>0</x:v>
      </x:c>
      <x:c r="E57" s="19" t="n">
        <x:v>0.01</x:v>
      </x:c>
      <x:c r="F57" s="19" t="n">
        <x:v>0.015</x:v>
      </x:c>
      <x:c r="G57" s="19" t="n">
        <x:v>0.015</x:v>
      </x:c>
      <x:c r="H57" s="19" t="n">
        <x:v>0.015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 ht="20" customHeight="1">
      <x:c r="A58" s="2"/>
      <x:c r="B58" s="2"/>
      <x:c r="C58" s="2" t="str">
        <x:v>Downside</x:v>
      </x:c>
      <x:c r="D58" s="19" t="n">
        <x:v>-0.06</x:v>
      </x:c>
      <x:c r="E58" s="19" t="n">
        <x:v>-0.03</x:v>
      </x:c>
      <x:c r="F58" s="19" t="n">
        <x:v>-0.01</x:v>
      </x:c>
      <x:c r="G58" s="19" t="n">
        <x:v>0</x:v>
      </x:c>
      <x:c r="H58" s="19" t="n">
        <x:v>0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 ht="20" customHeight="1">
      <x:c r="A59" s="2"/>
      <x:c r="B59" s="2"/>
      <x:c r="C59" s="2" t="str">
        <x:v>Upside</x:v>
      </x:c>
      <x:c r="D59" s="19" t="n">
        <x:v>0.03</x:v>
      </x:c>
      <x:c r="E59" s="19" t="n">
        <x:v>0.03</x:v>
      </x:c>
      <x:c r="F59" s="19" t="n">
        <x:v>0.03</x:v>
      </x:c>
      <x:c r="G59" s="19" t="n">
        <x:v>0.025</x:v>
      </x:c>
      <x:c r="H59" s="19" t="n">
        <x:v>0.025</x:v>
      </x:c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 ht="20" customHeight="1">
      <x:c r="A61" s="2"/>
      <x:c r="B61" s="2"/>
      <x:c r="C61" s="2" t="str">
        <x:v>price — active</x:v>
      </x:c>
      <x:c r="D61" s="20" t="n">
        <x:f>CHOOSE('Sensitivities'!$D$5,D62,D63,D64)</x:f>
        <x:v>0.02</x:v>
      </x:c>
      <x:c r="E61" s="20" t="n">
        <x:f>CHOOSE('Sensitivities'!$D$5,E62,E63,E64)</x:f>
        <x:v>0.02</x:v>
      </x:c>
      <x:c r="F61" s="20" t="n">
        <x:f>CHOOSE('Sensitivities'!$D$5,F62,F63,F64)</x:f>
        <x:v>0.02</x:v>
      </x:c>
      <x:c r="G61" s="20" t="n">
        <x:f>CHOOSE('Sensitivities'!$D$5,G62,G63,G64)</x:f>
        <x:v>0.02</x:v>
      </x:c>
      <x:c r="H61" s="20" t="n">
        <x:f>CHOOSE('Sensitivities'!$D$5,H62,H63,H64)</x:f>
        <x:v>0.02</x:v>
      </x:c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 ht="20" customHeight="1">
      <x:c r="A62" s="2"/>
      <x:c r="B62" s="2"/>
      <x:c r="C62" s="2" t="str">
        <x:v>Base</x:v>
      </x:c>
      <x:c r="D62" s="19" t="n">
        <x:v>0.02</x:v>
      </x:c>
      <x:c r="E62" s="19" t="n">
        <x:v>0.02</x:v>
      </x:c>
      <x:c r="F62" s="19" t="n">
        <x:v>0.02</x:v>
      </x:c>
      <x:c r="G62" s="19" t="n">
        <x:v>0.02</x:v>
      </x:c>
      <x:c r="H62" s="19" t="n">
        <x:v>0.02</x:v>
      </x:c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 ht="20" customHeight="1">
      <x:c r="A63" s="2"/>
      <x:c r="B63" s="2"/>
      <x:c r="C63" s="2" t="str">
        <x:v>Downside</x:v>
      </x:c>
      <x:c r="D63" s="19" t="n">
        <x:v>0.01</x:v>
      </x:c>
      <x:c r="E63" s="19" t="n">
        <x:v>0.01</x:v>
      </x:c>
      <x:c r="F63" s="19" t="n">
        <x:v>0.01</x:v>
      </x:c>
      <x:c r="G63" s="19" t="n">
        <x:v>0.015</x:v>
      </x:c>
      <x:c r="H63" s="19" t="n">
        <x:v>0.015</x:v>
      </x:c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 ht="20" customHeight="1">
      <x:c r="A64" s="2"/>
      <x:c r="B64" s="2"/>
      <x:c r="C64" s="2" t="str">
        <x:v>Upside</x:v>
      </x:c>
      <x:c r="D64" s="19" t="n">
        <x:v>0.025</x:v>
      </x:c>
      <x:c r="E64" s="19" t="n">
        <x:v>0.025</x:v>
      </x:c>
      <x:c r="F64" s="19" t="n">
        <x:v>0.02</x:v>
      </x:c>
      <x:c r="G64" s="19" t="n">
        <x:v>0.02</x:v>
      </x:c>
      <x:c r="H64" s="19" t="n">
        <x:v>0.02</x:v>
      </x:c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 ht="20" customHeight="1">
      <x:c r="A66" s="2"/>
      <x:c r="B66" s="2"/>
      <x:c r="C66" s="2" t="str">
        <x:v>fx — active</x:v>
      </x:c>
      <x:c r="D66" s="20" t="n">
        <x:f>CHOOSE('Sensitivities'!$D$5,D67,D68,D69)</x:f>
        <x:v>0</x:v>
      </x:c>
      <x:c r="E66" s="20" t="n">
        <x:f>CHOOSE('Sensitivities'!$D$5,E67,E68,E69)</x:f>
        <x:v>0</x:v>
      </x:c>
      <x:c r="F66" s="20" t="n">
        <x:f>CHOOSE('Sensitivities'!$D$5,F67,F68,F69)</x:f>
        <x:v>0</x:v>
      </x:c>
      <x:c r="G66" s="20" t="n">
        <x:f>CHOOSE('Sensitivities'!$D$5,G67,G68,G69)</x:f>
        <x:v>0</x:v>
      </x:c>
      <x:c r="H66" s="20" t="n">
        <x:f>CHOOSE('Sensitivities'!$D$5,H67,H68,H69)</x:f>
        <x:v>0</x:v>
      </x:c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 ht="20" customHeight="1">
      <x:c r="A67" s="2"/>
      <x:c r="B67" s="2"/>
      <x:c r="C67" s="2" t="str">
        <x:v>Base</x:v>
      </x:c>
      <x:c r="D67" s="19" t="n">
        <x:v>0</x:v>
      </x:c>
      <x:c r="E67" s="19" t="n">
        <x:v>0</x:v>
      </x:c>
      <x:c r="F67" s="19" t="n">
        <x:v>0</x:v>
      </x:c>
      <x:c r="G67" s="19" t="n">
        <x:v>0</x:v>
      </x:c>
      <x:c r="H67" s="19" t="n">
        <x:v>0</x:v>
      </x:c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 ht="20" customHeight="1">
      <x:c r="A68" s="2"/>
      <x:c r="B68" s="2"/>
      <x:c r="C68" s="2" t="str">
        <x:v>Downside</x:v>
      </x:c>
      <x:c r="D68" s="19" t="n">
        <x:v>-0.02</x:v>
      </x:c>
      <x:c r="E68" s="19" t="n">
        <x:v>0</x:v>
      </x:c>
      <x:c r="F68" s="19" t="n">
        <x:v>0</x:v>
      </x:c>
      <x:c r="G68" s="19" t="n">
        <x:v>0</x:v>
      </x:c>
      <x:c r="H68" s="19" t="n">
        <x:v>0</x:v>
      </x:c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 ht="20" customHeight="1">
      <x:c r="A69" s="2"/>
      <x:c r="B69" s="2"/>
      <x:c r="C69" s="2" t="str">
        <x:v>Upside</x:v>
      </x:c>
      <x:c r="D69" s="19" t="n">
        <x:v>0</x:v>
      </x:c>
      <x:c r="E69" s="19" t="n">
        <x:v>0</x:v>
      </x:c>
      <x:c r="F69" s="19" t="n">
        <x:v>0</x:v>
      </x:c>
      <x:c r="G69" s="19" t="n">
        <x:v>0</x:v>
      </x:c>
      <x:c r="H69" s="19" t="n">
        <x:v>0</x:v>
      </x:c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 ht="20" customHeight="1">
      <x:c r="A71" s="2"/>
      <x:c r="B71" s="2"/>
      <x:c r="C71" s="2" t="str">
        <x:v>margin change — active</x:v>
      </x:c>
      <x:c r="D71" s="20" t="n">
        <x:f>CHOOSE('Sensitivities'!$D$5,D72,D73,D74)</x:f>
        <x:v>-0.01</x:v>
      </x:c>
      <x:c r="E71" s="20" t="n">
        <x:f>CHOOSE('Sensitivities'!$D$5,E72,E73,E74)</x:f>
        <x:v>0</x:v>
      </x:c>
      <x:c r="F71" s="20" t="n">
        <x:f>CHOOSE('Sensitivities'!$D$5,F72,F73,F74)</x:f>
        <x:v>0.005</x:v>
      </x:c>
      <x:c r="G71" s="20" t="n">
        <x:f>CHOOSE('Sensitivities'!$D$5,G72,G73,G74)</x:f>
        <x:v>0.005</x:v>
      </x:c>
      <x:c r="H71" s="20" t="n">
        <x:f>CHOOSE('Sensitivities'!$D$5,H72,H73,H74)</x:f>
        <x:v>0.005</x:v>
      </x:c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 ht="20" customHeight="1">
      <x:c r="A72" s="2"/>
      <x:c r="B72" s="2"/>
      <x:c r="C72" s="2" t="str">
        <x:v>Base</x:v>
      </x:c>
      <x:c r="D72" s="19" t="n">
        <x:v>-0.01</x:v>
      </x:c>
      <x:c r="E72" s="19" t="n">
        <x:v>0</x:v>
      </x:c>
      <x:c r="F72" s="19" t="n">
        <x:v>0.005</x:v>
      </x:c>
      <x:c r="G72" s="19" t="n">
        <x:v>0.005</x:v>
      </x:c>
      <x:c r="H72" s="19" t="n">
        <x:v>0.005</x:v>
      </x:c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 ht="20" customHeight="1">
      <x:c r="A73" s="2"/>
      <x:c r="B73" s="2"/>
      <x:c r="C73" s="2" t="str">
        <x:v>Downside</x:v>
      </x:c>
      <x:c r="D73" s="19" t="n">
        <x:v>-0.04</x:v>
      </x:c>
      <x:c r="E73" s="19" t="n">
        <x:v>-0.01</x:v>
      </x:c>
      <x:c r="F73" s="19" t="n">
        <x:v>0</x:v>
      </x:c>
      <x:c r="G73" s="19" t="n">
        <x:v>0.005</x:v>
      </x:c>
      <x:c r="H73" s="19" t="n">
        <x:v>0.005</x:v>
      </x:c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 ht="20" customHeight="1">
      <x:c r="A74" s="2"/>
      <x:c r="B74" s="2"/>
      <x:c r="C74" s="2" t="str">
        <x:v>Upside</x:v>
      </x:c>
      <x:c r="D74" s="19" t="n">
        <x:v>0</x:v>
      </x:c>
      <x:c r="E74" s="19" t="n">
        <x:v>0.01</x:v>
      </x:c>
      <x:c r="F74" s="19" t="n">
        <x:v>0.005</x:v>
      </x:c>
      <x:c r="G74" s="19" t="n">
        <x:v>0.005</x:v>
      </x:c>
      <x:c r="H74" s="19" t="n">
        <x:v>0.005</x:v>
      </x:c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 ht="20" customHeight="1">
      <x:c r="A76" s="2"/>
      <x:c r="B76" s="2"/>
      <x:c r="C76" s="2" t="str">
        <x:v>sga inflation — active</x:v>
      </x:c>
      <x:c r="D76" s="20" t="n">
        <x:f>CHOOSE('Sensitivities'!$D$5,D77,D78,D79)</x:f>
        <x:v>0.02</x:v>
      </x:c>
      <x:c r="E76" s="20" t="n">
        <x:f>CHOOSE('Sensitivities'!$D$5,E77,E78,E79)</x:f>
        <x:v>0.02</x:v>
      </x:c>
      <x:c r="F76" s="20" t="n">
        <x:f>CHOOSE('Sensitivities'!$D$5,F77,F78,F79)</x:f>
        <x:v>0.02</x:v>
      </x:c>
      <x:c r="G76" s="20" t="n">
        <x:f>CHOOSE('Sensitivities'!$D$5,G77,G78,G79)</x:f>
        <x:v>0.02</x:v>
      </x:c>
      <x:c r="H76" s="20" t="n">
        <x:f>CHOOSE('Sensitivities'!$D$5,H77,H78,H79)</x:f>
        <x:v>0.02</x:v>
      </x:c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 ht="20" customHeight="1">
      <x:c r="A77" s="2"/>
      <x:c r="B77" s="2"/>
      <x:c r="C77" s="2" t="str">
        <x:v>Base</x:v>
      </x:c>
      <x:c r="D77" s="19" t="n">
        <x:v>0.02</x:v>
      </x:c>
      <x:c r="E77" s="19" t="n">
        <x:v>0.02</x:v>
      </x:c>
      <x:c r="F77" s="19" t="n">
        <x:v>0.02</x:v>
      </x:c>
      <x:c r="G77" s="19" t="n">
        <x:v>0.02</x:v>
      </x:c>
      <x:c r="H77" s="19" t="n">
        <x:v>0.02</x:v>
      </x:c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 ht="20" customHeight="1">
      <x:c r="A78" s="2"/>
      <x:c r="B78" s="2"/>
      <x:c r="C78" s="2" t="str">
        <x:v>Downside</x:v>
      </x:c>
      <x:c r="D78" s="19" t="n">
        <x:v>0.025</x:v>
      </x:c>
      <x:c r="E78" s="19" t="n">
        <x:v>0.025</x:v>
      </x:c>
      <x:c r="F78" s="19" t="n">
        <x:v>0.02</x:v>
      </x:c>
      <x:c r="G78" s="19" t="n">
        <x:v>0.02</x:v>
      </x:c>
      <x:c r="H78" s="19" t="n">
        <x:v>0.02</x:v>
      </x:c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 ht="20" customHeight="1">
      <x:c r="A79" s="2"/>
      <x:c r="B79" s="2"/>
      <x:c r="C79" s="2" t="str">
        <x:v>Upside</x:v>
      </x:c>
      <x:c r="D79" s="19" t="n">
        <x:v>0.015</x:v>
      </x:c>
      <x:c r="E79" s="19" t="n">
        <x:v>0.015</x:v>
      </x:c>
      <x:c r="F79" s="19" t="n">
        <x:v>0.015</x:v>
      </x:c>
      <x:c r="G79" s="19" t="n">
        <x:v>0.015</x:v>
      </x:c>
      <x:c r="H79" s="19" t="n">
        <x:v>0.015</x:v>
      </x:c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 ht="20" customHeight="1">
      <x:c r="A81" s="2"/>
      <x:c r="B81" s="2"/>
      <x:c r="C81" s="2" t="str">
        <x:v>capex rate — active</x:v>
      </x:c>
      <x:c r="D81" s="20" t="n">
        <x:f>CHOOSE('Sensitivities'!$D$5,D82,D83,D84)</x:f>
        <x:v>0.035</x:v>
      </x:c>
      <x:c r="E81" s="20" t="n">
        <x:f>CHOOSE('Sensitivities'!$D$5,E82,E83,E84)</x:f>
        <x:v>0.033</x:v>
      </x:c>
      <x:c r="F81" s="20" t="n">
        <x:f>CHOOSE('Sensitivities'!$D$5,F82,F83,F84)</x:f>
        <x:v>0.032</x:v>
      </x:c>
      <x:c r="G81" s="20" t="n">
        <x:f>CHOOSE('Sensitivities'!$D$5,G82,G83,G84)</x:f>
        <x:v>0.03</x:v>
      </x:c>
      <x:c r="H81" s="20" t="n">
        <x:f>CHOOSE('Sensitivities'!$D$5,H82,H83,H84)</x:f>
        <x:v>0.03</x:v>
      </x:c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 ht="20" customHeight="1">
      <x:c r="A82" s="2"/>
      <x:c r="B82" s="2"/>
      <x:c r="C82" s="2" t="str">
        <x:v>Base</x:v>
      </x:c>
      <x:c r="D82" s="19" t="n">
        <x:v>0.035</x:v>
      </x:c>
      <x:c r="E82" s="19" t="n">
        <x:v>0.033</x:v>
      </x:c>
      <x:c r="F82" s="19" t="n">
        <x:v>0.032</x:v>
      </x:c>
      <x:c r="G82" s="19" t="n">
        <x:v>0.03</x:v>
      </x:c>
      <x:c r="H82" s="19" t="n">
        <x:v>0.03</x:v>
      </x:c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 ht="20" customHeight="1">
      <x:c r="A83" s="2"/>
      <x:c r="B83" s="2"/>
      <x:c r="C83" s="2" t="str">
        <x:v>Downside</x:v>
      </x:c>
      <x:c r="D83" s="19" t="n">
        <x:v>0.04</x:v>
      </x:c>
      <x:c r="E83" s="19" t="n">
        <x:v>0.04</x:v>
      </x:c>
      <x:c r="F83" s="19" t="n">
        <x:v>0.035</x:v>
      </x:c>
      <x:c r="G83" s="19" t="n">
        <x:v>0.035</x:v>
      </x:c>
      <x:c r="H83" s="19" t="n">
        <x:v>0.035</x:v>
      </x:c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 ht="20" customHeight="1">
      <x:c r="A84" s="2"/>
      <x:c r="B84" s="2"/>
      <x:c r="C84" s="2" t="str">
        <x:v>Upside</x:v>
      </x:c>
      <x:c r="D84" s="19" t="n">
        <x:v>0.035</x:v>
      </x:c>
      <x:c r="E84" s="19" t="n">
        <x:v>0.035</x:v>
      </x:c>
      <x:c r="F84" s="19" t="n">
        <x:v>0.032</x:v>
      </x:c>
      <x:c r="G84" s="19" t="n">
        <x:v>0.03</x:v>
      </x:c>
      <x:c r="H84" s="19" t="n">
        <x:v>0.03</x:v>
      </x:c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 ht="20" customHeight="1">
      <x:c r="A86" s="2"/>
      <x:c r="B86" s="2"/>
      <x:c r="C86" s="2" t="str">
        <x:v>dso — active</x:v>
      </x:c>
      <x:c r="D86" s="9" t="n">
        <x:f>CHOOSE('Sensitivities'!$D$5,D87,D88,D89)</x:f>
        <x:v>52</x:v>
      </x:c>
      <x:c r="E86" s="9" t="n">
        <x:f>CHOOSE('Sensitivities'!$D$5,E87,E88,E89)</x:f>
        <x:v>52</x:v>
      </x:c>
      <x:c r="F86" s="9" t="n">
        <x:f>CHOOSE('Sensitivities'!$D$5,F87,F88,F89)</x:f>
        <x:v>51</x:v>
      </x:c>
      <x:c r="G86" s="9" t="n">
        <x:f>CHOOSE('Sensitivities'!$D$5,G87,G88,G89)</x:f>
        <x:v>51</x:v>
      </x:c>
      <x:c r="H86" s="9" t="n">
        <x:f>CHOOSE('Sensitivities'!$D$5,H87,H88,H89)</x:f>
        <x:v>51</x:v>
      </x:c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 ht="20" customHeight="1">
      <x:c r="A87" s="2"/>
      <x:c r="B87" s="2"/>
      <x:c r="C87" s="2" t="str">
        <x:v>Base</x:v>
      </x:c>
      <x:c r="D87" s="16" t="n">
        <x:v>52</x:v>
      </x:c>
      <x:c r="E87" s="16" t="n">
        <x:v>52</x:v>
      </x:c>
      <x:c r="F87" s="16" t="n">
        <x:v>51</x:v>
      </x:c>
      <x:c r="G87" s="16" t="n">
        <x:v>51</x:v>
      </x:c>
      <x:c r="H87" s="16" t="n">
        <x:v>51</x:v>
      </x:c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 ht="20" customHeight="1">
      <x:c r="A88" s="2"/>
      <x:c r="B88" s="2"/>
      <x:c r="C88" s="2" t="str">
        <x:v>Downside</x:v>
      </x:c>
      <x:c r="D88" s="16" t="n">
        <x:v>60</x:v>
      </x:c>
      <x:c r="E88" s="16" t="n">
        <x:v>62</x:v>
      </x:c>
      <x:c r="F88" s="16" t="n">
        <x:v>60</x:v>
      </x:c>
      <x:c r="G88" s="16" t="n">
        <x:v>58</x:v>
      </x:c>
      <x:c r="H88" s="16" t="n">
        <x:v>56</x:v>
      </x:c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 ht="20" customHeight="1">
      <x:c r="A89" s="2"/>
      <x:c r="B89" s="2"/>
      <x:c r="C89" s="2" t="str">
        <x:v>Upside</x:v>
      </x:c>
      <x:c r="D89" s="16" t="n">
        <x:v>50</x:v>
      </x:c>
      <x:c r="E89" s="16" t="n">
        <x:v>49</x:v>
      </x:c>
      <x:c r="F89" s="16" t="n">
        <x:v>48</x:v>
      </x:c>
      <x:c r="G89" s="16" t="n">
        <x:v>48</x:v>
      </x:c>
      <x:c r="H89" s="16" t="n">
        <x:v>48</x:v>
      </x:c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 ht="20" customHeight="1">
      <x:c r="A91" s="2"/>
      <x:c r="B91" s="2"/>
      <x:c r="C91" s="2" t="str">
        <x:v>dio — active</x:v>
      </x:c>
      <x:c r="D91" s="9" t="n">
        <x:f>CHOOSE('Sensitivities'!$D$5,D92,D93,D94)</x:f>
        <x:v>166</x:v>
      </x:c>
      <x:c r="E91" s="9" t="n">
        <x:f>CHOOSE('Sensitivities'!$D$5,E92,E93,E94)</x:f>
        <x:v>164</x:v>
      </x:c>
      <x:c r="F91" s="9" t="n">
        <x:f>CHOOSE('Sensitivities'!$D$5,F92,F93,F94)</x:f>
        <x:v>162</x:v>
      </x:c>
      <x:c r="G91" s="9" t="n">
        <x:f>CHOOSE('Sensitivities'!$D$5,G92,G93,G94)</x:f>
        <x:v>160</x:v>
      </x:c>
      <x:c r="H91" s="9" t="n">
        <x:f>CHOOSE('Sensitivities'!$D$5,H92,H93,H94)</x:f>
        <x:v>160</x:v>
      </x:c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 ht="20" customHeight="1">
      <x:c r="A92" s="2"/>
      <x:c r="B92" s="2"/>
      <x:c r="C92" s="2" t="str">
        <x:v>Base</x:v>
      </x:c>
      <x:c r="D92" s="16" t="n">
        <x:v>166</x:v>
      </x:c>
      <x:c r="E92" s="16" t="n">
        <x:v>164</x:v>
      </x:c>
      <x:c r="F92" s="16" t="n">
        <x:v>162</x:v>
      </x:c>
      <x:c r="G92" s="16" t="n">
        <x:v>160</x:v>
      </x:c>
      <x:c r="H92" s="16" t="n">
        <x:v>160</x:v>
      </x:c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 ht="20" customHeight="1">
      <x:c r="A93" s="2"/>
      <x:c r="B93" s="2"/>
      <x:c r="C93" s="2" t="str">
        <x:v>Downside</x:v>
      </x:c>
      <x:c r="D93" s="16" t="n">
        <x:v>185</x:v>
      </x:c>
      <x:c r="E93" s="16" t="n">
        <x:v>190</x:v>
      </x:c>
      <x:c r="F93" s="16" t="n">
        <x:v>185</x:v>
      </x:c>
      <x:c r="G93" s="16" t="n">
        <x:v>180</x:v>
      </x:c>
      <x:c r="H93" s="16" t="n">
        <x:v>175</x:v>
      </x:c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 ht="20" customHeight="1">
      <x:c r="A94" s="2"/>
      <x:c r="B94" s="2"/>
      <x:c r="C94" s="2" t="str">
        <x:v>Upside</x:v>
      </x:c>
      <x:c r="D94" s="16" t="n">
        <x:v>160</x:v>
      </x:c>
      <x:c r="E94" s="16" t="n">
        <x:v>155</x:v>
      </x:c>
      <x:c r="F94" s="16" t="n">
        <x:v>150</x:v>
      </x:c>
      <x:c r="G94" s="16" t="n">
        <x:v>150</x:v>
      </x:c>
      <x:c r="H94" s="16" t="n">
        <x:v>150</x:v>
      </x:c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 ht="20" customHeight="1">
      <x:c r="A96" s="2"/>
      <x:c r="B96" s="2"/>
      <x:c r="C96" s="2" t="str">
        <x:v>dpo — active</x:v>
      </x:c>
      <x:c r="D96" s="9" t="n">
        <x:f>CHOOSE('Sensitivities'!$D$5,D97,D98,D99)</x:f>
        <x:v>85</x:v>
      </x:c>
      <x:c r="E96" s="9" t="n">
        <x:f>CHOOSE('Sensitivities'!$D$5,E97,E98,E99)</x:f>
        <x:v>85</x:v>
      </x:c>
      <x:c r="F96" s="9" t="n">
        <x:f>CHOOSE('Sensitivities'!$D$5,F97,F98,F99)</x:f>
        <x:v>85</x:v>
      </x:c>
      <x:c r="G96" s="9" t="n">
        <x:f>CHOOSE('Sensitivities'!$D$5,G97,G98,G99)</x:f>
        <x:v>85</x:v>
      </x:c>
      <x:c r="H96" s="9" t="n">
        <x:f>CHOOSE('Sensitivities'!$D$5,H97,H98,H99)</x:f>
        <x:v>85</x:v>
      </x:c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 ht="20" customHeight="1">
      <x:c r="A97" s="2"/>
      <x:c r="B97" s="2"/>
      <x:c r="C97" s="2" t="str">
        <x:v>Base</x:v>
      </x:c>
      <x:c r="D97" s="16" t="n">
        <x:v>85</x:v>
      </x:c>
      <x:c r="E97" s="16" t="n">
        <x:v>85</x:v>
      </x:c>
      <x:c r="F97" s="16" t="n">
        <x:v>85</x:v>
      </x:c>
      <x:c r="G97" s="16" t="n">
        <x:v>85</x:v>
      </x:c>
      <x:c r="H97" s="16" t="n">
        <x:v>85</x:v>
      </x:c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 ht="20" customHeight="1">
      <x:c r="A98" s="2"/>
      <x:c r="B98" s="2"/>
      <x:c r="C98" s="2" t="str">
        <x:v>Downside</x:v>
      </x:c>
      <x:c r="D98" s="16" t="n">
        <x:v>78</x:v>
      </x:c>
      <x:c r="E98" s="16" t="n">
        <x:v>78</x:v>
      </x:c>
      <x:c r="F98" s="16" t="n">
        <x:v>80</x:v>
      </x:c>
      <x:c r="G98" s="16" t="n">
        <x:v>82</x:v>
      </x:c>
      <x:c r="H98" s="16" t="n">
        <x:v>84</x:v>
      </x:c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 ht="20" customHeight="1">
      <x:c r="A99" s="2"/>
      <x:c r="B99" s="2"/>
      <x:c r="C99" s="2" t="str">
        <x:v>Upside</x:v>
      </x:c>
      <x:c r="D99" s="16" t="n">
        <x:v>86</x:v>
      </x:c>
      <x:c r="E99" s="16" t="n">
        <x:v>87</x:v>
      </x:c>
      <x:c r="F99" s="16" t="n">
        <x:v>88</x:v>
      </x:c>
      <x:c r="G99" s="16" t="n">
        <x:v>88</x:v>
      </x:c>
      <x:c r="H99" s="16" t="n">
        <x:v>88</x:v>
      </x:c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 ht="20" customHeight="1">
      <x:c r="A101" s="2"/>
      <x:c r="B101" s="2"/>
      <x:c r="C101" s="2" t="str">
        <x:v>reference rate — active</x:v>
      </x:c>
      <x:c r="D101" s="20" t="n">
        <x:f>CHOOSE('Sensitivities'!$D$5,D102,D103,D104)</x:f>
        <x:v>0.04</x:v>
      </x:c>
      <x:c r="E101" s="20" t="n">
        <x:f>CHOOSE('Sensitivities'!$D$5,E102,E103,E104)</x:f>
        <x:v>0.0375</x:v>
      </x:c>
      <x:c r="F101" s="20" t="n">
        <x:f>CHOOSE('Sensitivities'!$D$5,F102,F103,F104)</x:f>
        <x:v>0.035</x:v>
      </x:c>
      <x:c r="G101" s="20" t="n">
        <x:f>CHOOSE('Sensitivities'!$D$5,G102,G103,G104)</x:f>
        <x:v>0.035</x:v>
      </x:c>
      <x:c r="H101" s="20" t="n">
        <x:f>CHOOSE('Sensitivities'!$D$5,H102,H103,H104)</x:f>
        <x:v>0.035</x:v>
      </x:c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 ht="20" customHeight="1">
      <x:c r="A102" s="2"/>
      <x:c r="B102" s="2"/>
      <x:c r="C102" s="2" t="str">
        <x:v>Base</x:v>
      </x:c>
      <x:c r="D102" s="19" t="n">
        <x:v>0.04</x:v>
      </x:c>
      <x:c r="E102" s="19" t="n">
        <x:v>0.0375</x:v>
      </x:c>
      <x:c r="F102" s="19" t="n">
        <x:v>0.035</x:v>
      </x:c>
      <x:c r="G102" s="19" t="n">
        <x:v>0.035</x:v>
      </x:c>
      <x:c r="H102" s="19" t="n">
        <x:v>0.035</x:v>
      </x:c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 ht="20" customHeight="1">
      <x:c r="A103" s="2"/>
      <x:c r="B103" s="2"/>
      <x:c r="C103" s="2" t="str">
        <x:v>Downside</x:v>
      </x:c>
      <x:c r="D103" s="19" t="n">
        <x:v>0.055</x:v>
      </x:c>
      <x:c r="E103" s="19" t="n">
        <x:v>0.055</x:v>
      </x:c>
      <x:c r="F103" s="19" t="n">
        <x:v>0.05</x:v>
      </x:c>
      <x:c r="G103" s="19" t="n">
        <x:v>0.045</x:v>
      </x:c>
      <x:c r="H103" s="19" t="n">
        <x:v>0.045</x:v>
      </x:c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 ht="20" customHeight="1">
      <x:c r="A104" s="2"/>
      <x:c r="B104" s="2"/>
      <x:c r="C104" s="2" t="str">
        <x:v>Upside</x:v>
      </x:c>
      <x:c r="D104" s="19" t="n">
        <x:v>0.035</x:v>
      </x:c>
      <x:c r="E104" s="19" t="n">
        <x:v>0.0325</x:v>
      </x:c>
      <x:c r="F104" s="19" t="n">
        <x:v>0.03</x:v>
      </x:c>
      <x:c r="G104" s="19" t="n">
        <x:v>0.03</x:v>
      </x:c>
      <x:c r="H104" s="19" t="n">
        <x:v>0.03</x:v>
      </x:c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 ht="2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 ht="20" customHeight="1">
      <x:c r="A106" s="2"/>
      <x:c r="B106" s="2"/>
      <x:c r="C106" s="2" t="str">
        <x:v>recurring cost — active</x:v>
      </x:c>
      <x:c r="D106" s="9" t="n">
        <x:f>CHOOSE('Sensitivities'!$D$5,D107,D108,D109)</x:f>
        <x:v>20</x:v>
      </x:c>
      <x:c r="E106" s="9" t="n">
        <x:f>CHOOSE('Sensitivities'!$D$5,E107,E108,E109)</x:f>
        <x:v>20</x:v>
      </x:c>
      <x:c r="F106" s="9" t="n">
        <x:f>CHOOSE('Sensitivities'!$D$5,F107,F108,F109)</x:f>
        <x:v>20</x:v>
      </x:c>
      <x:c r="G106" s="9" t="n">
        <x:f>CHOOSE('Sensitivities'!$D$5,G107,G108,G109)</x:f>
        <x:v>20</x:v>
      </x:c>
      <x:c r="H106" s="9" t="n">
        <x:f>CHOOSE('Sensitivities'!$D$5,H107,H108,H109)</x:f>
        <x:v>20</x:v>
      </x:c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 ht="20" customHeight="1">
      <x:c r="A107" s="2"/>
      <x:c r="B107" s="2"/>
      <x:c r="C107" s="2" t="str">
        <x:v>Base</x:v>
      </x:c>
      <x:c r="D107" s="16" t="n">
        <x:v>20</x:v>
      </x:c>
      <x:c r="E107" s="16" t="n">
        <x:v>20</x:v>
      </x:c>
      <x:c r="F107" s="16" t="n">
        <x:v>20</x:v>
      </x:c>
      <x:c r="G107" s="16" t="n">
        <x:v>20</x:v>
      </x:c>
      <x:c r="H107" s="16" t="n">
        <x:v>20</x:v>
      </x:c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 ht="20" customHeight="1">
      <x:c r="A108" s="2"/>
      <x:c r="B108" s="2"/>
      <x:c r="C108" s="2" t="str">
        <x:v>Downside</x:v>
      </x:c>
      <x:c r="D108" s="16" t="n">
        <x:v>45</x:v>
      </x:c>
      <x:c r="E108" s="16" t="n">
        <x:v>40</x:v>
      </x:c>
      <x:c r="F108" s="16" t="n">
        <x:v>35</x:v>
      </x:c>
      <x:c r="G108" s="16" t="n">
        <x:v>30</x:v>
      </x:c>
      <x:c r="H108" s="16" t="n">
        <x:v>25</x:v>
      </x:c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 ht="20" customHeight="1">
      <x:c r="A109" s="2"/>
      <x:c r="B109" s="2"/>
      <x:c r="C109" s="2" t="str">
        <x:v>Upside</x:v>
      </x:c>
      <x:c r="D109" s="16" t="n">
        <x:v>15</x:v>
      </x:c>
      <x:c r="E109" s="16" t="n">
        <x:v>15</x:v>
      </x:c>
      <x:c r="F109" s="16" t="n">
        <x:v>15</x:v>
      </x:c>
      <x:c r="G109" s="16" t="n">
        <x:v>15</x:v>
      </x:c>
      <x:c r="H109" s="16" t="n">
        <x:v>15</x:v>
      </x:c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</x:sheetData>
  <x:mergeCells>
    <x:mergeCell ref="C47:H47"/>
  </x:mergeCells>
  <x:conditionalFormatting sqref="D48:D48">
    <x:cfRule type="cellIs" dxfId="3" priority="1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2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Sources &amp; Uses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/>
      <x:c r="E8"/>
      <x:c r="F8"/>
      <x:c r="G8"/>
      <x:c r="H8"/>
      <x:c r="I8" s="2"/>
      <x:c r="J8" s="2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Entry enterprise value</x:v>
      </x:c>
      <x:c r="D10" s="9" t="n">
        <x:f>'Historical &amp; Sources'!D97*'Assumptions'!D10</x:f>
        <x:v>4806.000000000001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20" customHeight="1">
      <x:c r="A11" s="2"/>
      <x:c r="B11" s="2"/>
      <x:c r="C11" s="2" t="str">
        <x:v>Less financial debt principal</x:v>
      </x:c>
      <x:c r="D11" s="9" t="n">
        <x:f>-'Closing Bridge'!D30</x:f>
        <x:v>-3407.1499999999996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0" customHeight="1">
      <x:c r="A12" s="2"/>
      <x:c r="B12" s="2"/>
      <x:c r="C12" s="2" t="str">
        <x:v>Less retained finance leases</x:v>
      </x:c>
      <x:c r="D12" s="9" t="n">
        <x:f>-'Closing Bridge'!D31</x:f>
        <x:v>-49.925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20" customHeight="1">
      <x:c r="A13" s="2"/>
      <x:c r="B13" s="2"/>
      <x:c r="C13" s="2" t="str">
        <x:v>Add acquired cash</x:v>
      </x:c>
      <x:c r="D13" s="9" t="n">
        <x:f>'Closing Bridge'!D27</x:f>
        <x:v>287.63860884720987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20" customHeight="1">
      <x:c r="A14" s="2"/>
      <x:c r="B14" s="2"/>
      <x:c r="C14" s="2" t="str">
        <x:v>Less pension deficit retained</x:v>
      </x:c>
      <x:c r="D14" s="9" t="n">
        <x:f>-'Historical &amp; Sources'!F68</x:f>
        <x:v>-38.8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0" customHeight="1">
      <x:c r="A15" s="2"/>
      <x:c r="B15" s="2"/>
      <x:c r="C15" s="2" t="str">
        <x:v>Seller equity proceeds</x:v>
      </x:c>
      <x:c r="D15" s="2" t="n">
        <x:f>SUM(D10:D14)</x:f>
        <x:v>1597.7636088472111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23" customHeight="1">
      <x:c r="A17" s="2"/>
      <x:c r="B17" s="2"/>
      <x:c r="C17" s="23" t="str">
        <x:v>Uses of funds</x:v>
      </x:c>
      <x:c r="D17" s="23"/>
      <x:c r="E17" s="23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0" customHeight="1">
      <x:c r="A18" s="2"/>
      <x:c r="B18" s="2"/>
      <x:c r="C18" s="2" t="str">
        <x:v>Seller proceeds and refinancing</x:v>
      </x:c>
      <x:c r="D18" s="9" t="n">
        <x:f>D15+'Closing Bridge'!D30</x:f>
        <x:v>5004.9136088472105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0" customHeight="1">
      <x:c r="A19" s="2"/>
      <x:c r="B19" s="2"/>
      <x:c r="C19" s="2" t="str">
        <x:v>Transaction fees expensed</x:v>
      </x:c>
      <x:c r="D19" s="9" t="n">
        <x:f>D10*'Assumptions'!D15</x:f>
        <x:v>96.12000000000002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20" customHeight="1">
      <x:c r="A20" s="2"/>
      <x:c r="B20" s="2"/>
      <x:c r="C20" s="2" t="str">
        <x:v>Term debt financing fees</x:v>
      </x:c>
      <x:c r="D20" s="9" t="n">
        <x:f>SUM(D28:D29)*'Assumptions'!D16</x:f>
        <x:v>48.06000000000001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20" customHeight="1">
      <x:c r="A21" s="2"/>
      <x:c r="B21" s="2"/>
      <x:c r="C21" s="2" t="str">
        <x:v>Revolver upfront fees</x:v>
      </x:c>
      <x:c r="D21" s="9" t="n">
        <x:f>D35*'Assumptions'!D17</x:f>
        <x:v>4.005000000000001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0" customHeight="1">
      <x:c r="A22" s="2"/>
      <x:c r="B22" s="2"/>
      <x:c r="C22" s="2" t="str">
        <x:v>Cash retained at close</x:v>
      </x:c>
      <x:c r="D22" s="9" t="n">
        <x:f>'Historical &amp; Sources'!F10*'Assumptions'!D19</x:f>
        <x:v>59.053999999999995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 t="str">
        <x:v>Total uses</x:v>
      </x:c>
      <x:c r="D24" s="2" t="n">
        <x:f>SUM(D18:D22)</x:f>
        <x:v>5212.152608847211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23" customHeight="1">
      <x:c r="A26" s="2"/>
      <x:c r="B26" s="2"/>
      <x:c r="C26" s="23" t="str">
        <x:v>Sources of funds</x:v>
      </x:c>
      <x:c r="D26" s="23"/>
      <x:c r="E26" s="23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20" customHeight="1">
      <x:c r="A28" s="2"/>
      <x:c r="B28" s="2"/>
      <x:c r="C28" s="2" t="str">
        <x:v>Senior term debt</x:v>
      </x:c>
      <x:c r="D28" s="9" t="n">
        <x:f>'Historical &amp; Sources'!D97*'Assumptions'!D12</x:f>
        <x:v>1869.0000000000005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 ht="20" customHeight="1">
      <x:c r="A29" s="2"/>
      <x:c r="B29" s="2"/>
      <x:c r="C29" s="2" t="str">
        <x:v>Junior debt</x:v>
      </x:c>
      <x:c r="D29" s="9" t="n">
        <x:f>'Historical &amp; Sources'!D97*'Assumptions'!D13</x:f>
        <x:v>534.0000000000001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 ht="20" customHeight="1">
      <x:c r="A30" s="2"/>
      <x:c r="B30" s="2"/>
      <x:c r="C30" s="2" t="str">
        <x:v>Acquired cash used</x:v>
      </x:c>
      <x:c r="D30" s="9" t="n">
        <x:f>'Closing Bridge'!D27</x:f>
        <x:v>287.63860884720987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 ht="20" customHeight="1">
      <x:c r="A31" s="2"/>
      <x:c r="B31" s="2"/>
      <x:c r="C31" s="2" t="str">
        <x:v>Sponsor equity</x:v>
      </x:c>
      <x:c r="D31" s="2" t="n">
        <x:f>D24-SUM(D28:D30)</x:f>
        <x:v>2521.5140000000006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 ht="20" customHeight="1">
      <x:c r="A33" s="2"/>
      <x:c r="B33" s="2"/>
      <x:c r="C33" s="2" t="str">
        <x:v>Total sources</x:v>
      </x:c>
      <x:c r="D33" s="2" t="n">
        <x:f>SUM(D28:D31)</x:f>
        <x:v>5212.152608847211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 ht="20" customHeight="1">
      <x:c r="A35" s="2"/>
      <x:c r="B35" s="2"/>
      <x:c r="C35" s="2" t="str">
        <x:v>Undrawn revolver commitment</x:v>
      </x:c>
      <x:c r="D35" s="9" t="n">
        <x:f>'Historical &amp; Sources'!D97*'Assumptions'!D14</x:f>
        <x:v>400.5000000000001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 ht="32" customHeight="1">
      <x:c r="A38" s="2"/>
      <x:c r="B38" s="2"/>
      <x:c r="C38" s="13" t="str">
        <x:v>Debt is refinanced at face value. Retained finance leases and pension deficit reduce seller proceeds.</x:v>
      </x:c>
      <x:c r="D38" s="13"/>
      <x:c r="E38" s="13"/>
      <x:c r="F38" s="13"/>
      <x:c r="G38" s="13"/>
      <x:c r="H38" s="13"/>
      <x:c r="I38" s="13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 ht="32" customHeight="1">
      <x:c r="A40" s="2"/>
      <x:c r="B40" s="2"/>
      <x:c r="C40" s="13" t="str">
        <x:v>Operating leases remain operating costs and liabilities. Minimum operating cash is retained at exit.</x:v>
      </x:c>
      <x:c r="D40" s="13"/>
      <x:c r="E40" s="13"/>
      <x:c r="F40" s="13"/>
      <x:c r="G40" s="13"/>
      <x:c r="H40" s="13"/>
      <x:c r="I40" s="13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</x:sheetData>
  <x:mergeCells>
    <x:mergeCell ref="C38:I38"/>
    <x:mergeCell ref="C40:I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2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Purchase Accounting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/>
      <x:c r="E8"/>
      <x:c r="F8"/>
      <x:c r="G8"/>
      <x:c r="H8"/>
      <x:c r="I8" s="2"/>
      <x:c r="J8" s="2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Incremental deferred tax liability</x:v>
      </x:c>
      <x:c r="D10" s="9" t="n">
        <x:f>('Assumptions'!D31+'Assumptions'!D32)*'Assumptions'!D34</x:f>
        <x:v>110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20" customHeight="1">
      <x:c r="A11" s="2"/>
      <x:c r="B11" s="2"/>
      <x:c r="C11" s="2" t="str">
        <x:v>Identifiable net assets at close</x:v>
      </x:c>
      <x:c r="D11" s="9" t="n">
        <x:f>'Closing Bridge'!D34-'Historical &amp; Sources'!F31+'Assumptions'!D31+'Assumptions'!D32-'Closing Bridge'!D35-'Closing Bridge'!D32-D10</x:f>
        <x:v>-534.7661411527905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0" customHeight="1">
      <x:c r="A12" s="2"/>
      <x:c r="B12" s="2"/>
      <x:c r="C12" s="2" t="str">
        <x:v>New acquisition goodwill</x:v>
      </x:c>
      <x:c r="D12" s="9" t="n">
        <x:f>'Sources &amp; Uses'!D15-D11</x:f>
        <x:v>2132.5297500000015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0" customHeight="1">
      <x:c r="A15" s="2"/>
      <x:c r="B15" s="2"/>
      <x:c r="C15" s="2" t="str">
        <x:v>Opening assets</x:v>
      </x:c>
      <x:c r="D15" s="9" t="n">
        <x:f>'Closing Bridge'!D34-'Closing Bridge'!D27-'Historical &amp; Sources'!F31+'Sources &amp; Uses'!D22+D12+'Assumptions'!D31+'Assumptions'!D32+'Sources &amp; Uses'!D21</x:f>
        <x:v>5895.359000000002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 t="str">
        <x:v>Opening liabilities</x:v>
      </x:c>
      <x:c r="D16" s="9" t="n">
        <x:f>'Closing Bridge'!D35-'Closing Bridge'!D30+'Closing Bridge'!D32+'Sources &amp; Uses'!D28+'Sources &amp; Uses'!D29-'Sources &amp; Uses'!D20+D10</x:f>
        <x:v>3469.965000000002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20" customHeight="1">
      <x:c r="A17" s="2"/>
      <x:c r="B17" s="2"/>
      <x:c r="C17" s="2" t="str">
        <x:v>Opening sponsor book equity</x:v>
      </x:c>
      <x:c r="D17" s="9" t="n">
        <x:f>'Sources &amp; Uses'!D31-'Sources &amp; Uses'!D19</x:f>
        <x:v>2425.3940000000007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32" customHeight="1">
      <x:c r="A20" s="2"/>
      <x:c r="B20" s="2"/>
      <x:c r="C20" s="13" t="str">
        <x:v>Illustrative stock purchase: no tax basis step-up. New PPA assets amortize over 10 years by default.</x:v>
      </x:c>
      <x:c r="D20" s="13"/>
      <x:c r="E20" s="13"/>
      <x:c r="F20" s="13"/>
      <x:c r="G20" s="13"/>
      <x:c r="H20" s="13"/>
      <x:c r="I20" s="13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32" customHeight="1">
      <x:c r="A22" s="2"/>
      <x:c r="B22" s="2"/>
      <x:c r="C22" s="13" t="str">
        <x:v>Existing goodwill is replaced. Existing debt issuance costs are eliminated in the fair-value bridge.</x:v>
      </x:c>
      <x:c r="D22" s="13"/>
      <x:c r="E22" s="13"/>
      <x:c r="F22" s="13"/>
      <x:c r="G22" s="13"/>
      <x:c r="H22" s="13"/>
      <x:c r="I22" s="13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32" customHeight="1">
      <x:c r="A24" s="2"/>
      <x:c r="B24" s="2"/>
      <x:c r="C24" s="13" t="str">
        <x:v>Existing deferred tax balances are held flat. New loss and interest carryforwards have full valuation allowances.</x:v>
      </x:c>
      <x:c r="D24" s="13"/>
      <x:c r="E24" s="13"/>
      <x:c r="F24" s="13"/>
      <x:c r="G24" s="13"/>
      <x:c r="H24" s="13"/>
      <x:c r="I24" s="13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32" customHeight="1">
      <x:c r="A26" s="2"/>
      <x:c r="B26" s="2"/>
      <x:c r="C26" s="13" t="str">
        <x:v>Term financing fees reduce book debt; revolver fees are assets. Transaction fees reduce opening book equity.</x:v>
      </x:c>
      <x:c r="D26" s="13"/>
      <x:c r="E26" s="13"/>
      <x:c r="F26" s="13"/>
      <x:c r="G26" s="13"/>
      <x:c r="H26" s="13"/>
      <x:c r="I26" s="13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</x:sheetData>
  <x:mergeCells>
    <x:mergeCell ref="C20:I20"/>
    <x:mergeCell ref="C22:I22"/>
    <x:mergeCell ref="C24:I24"/>
    <x:mergeCell ref="C26:I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2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Closing Bridge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/>
      <x:c r="E8"/>
      <x:c r="F8"/>
      <x:c r="G8"/>
      <x:c r="H8"/>
      <x:c r="I8" s="2"/>
      <x:c r="J8" s="2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battery</x:v>
      </x:c>
      <x:c r="D10" s="9" t="n">
        <x:f>'Historical &amp; Sources'!F79*(1+'Assumptions'!D41)*(1+'Assumptions'!D42)</x:f>
        <x:v>625.69656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20" customHeight="1">
      <x:c r="A11" s="2"/>
      <x:c r="B11" s="2"/>
      <x:c r="C11" s="2" t="str">
        <x:v>auto</x:v>
      </x:c>
      <x:c r="D11" s="9" t="n">
        <x:f>'Historical &amp; Sources'!F83*(1+'Assumptions'!D41)*(1+'Assumptions'!D42)</x:f>
        <x:v>98.24742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0" customHeight="1">
      <x:c r="A12" s="2"/>
      <x:c r="B12" s="2"/>
      <x:c r="C12" s="2" t="str">
        <x:v>revenue</x:v>
      </x:c>
      <x:c r="D12" s="2" t="n">
        <x:f>SUM(D10:D11)</x:f>
        <x:v>723.94398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20" customHeight="1">
      <x:c r="A14" s="2"/>
      <x:c r="B14" s="2"/>
      <x:c r="C14" s="2" t="str">
        <x:v>ebitda</x:v>
      </x:c>
      <x:c r="D14" s="9" t="n">
        <x:f>D10*'Historical &amp; Sources'!D98+D11*'Historical &amp; Sources'!D99-D12*'Historical &amp; Sources'!D100-'Historical &amp; Sources'!F77/4-'Assumptions'!D36/4</x:f>
        <x:v>129.88736735183528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0" customHeight="1">
      <x:c r="A15" s="2"/>
      <x:c r="B15" s="2"/>
      <x:c r="C15" s="2" t="str">
        <x:v>dep</x:v>
      </x:c>
      <x:c r="D15" s="9" t="n">
        <x:f>('Historical &amp; Sources'!F49-'Historical &amp; Sources'!F16)/4</x:f>
        <x:v>17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 t="str">
        <x:v>amort</x:v>
      </x:c>
      <x:c r="D16" s="9" t="n">
        <x:f>'Historical &amp; Sources'!F16/4</x:f>
        <x:v>14.675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20" customHeight="1">
      <x:c r="A17" s="2"/>
      <x:c r="B17" s="2"/>
      <x:c r="C17" s="2" t="str">
        <x:v>interest</x:v>
      </x:c>
      <x:c r="D17" s="9" t="n">
        <x:f>'Assumptions'!D43*92/360</x:f>
        <x:v>39.43222222222222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0" customHeight="1">
      <x:c r="A18" s="2"/>
      <x:c r="B18" s="2"/>
      <x:c r="C18" s="2" t="str">
        <x:v>fee</x:v>
      </x:c>
      <x:c r="D18" s="9" t="n">
        <x:f>'Assumptions'!D45</x:f>
        <x:v>1.395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0" customHeight="1">
      <x:c r="A19" s="2"/>
      <x:c r="B19" s="2"/>
      <x:c r="C19" s="2" t="str">
        <x:v>pretax</x:v>
      </x:c>
      <x:c r="D19" s="2" t="n">
        <x:f>D14-SUM(D15:D18)</x:f>
        <x:v>57.385145129613065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20" customHeight="1">
      <x:c r="A20" s="2"/>
      <x:c r="B20" s="2"/>
      <x:c r="C20" s="2" t="str">
        <x:v>taxes</x:v>
      </x:c>
      <x:c r="D20" s="9" t="n">
        <x:f>MAX(0,D19)*'Assumptions'!D34</x:f>
        <x:v>14.346286282403266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20" customHeight="1">
      <x:c r="A21" s="2"/>
      <x:c r="B21" s="2"/>
      <x:c r="C21" s="2" t="str">
        <x:v>net income</x:v>
      </x:c>
      <x:c r="D21" s="2" t="n">
        <x:f>D19-D20</x:f>
        <x:v>43.038858847209795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20" customHeight="1">
      <x:c r="A23" s="2"/>
      <x:c r="B23" s="2"/>
      <x:c r="C23" s="2" t="str">
        <x:v>capex</x:v>
      </x:c>
      <x:c r="D23" s="9" t="n">
        <x:f>'Historical &amp; Sources'!F10*3%/4</x:f>
        <x:v>22.145249999999997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 t="str">
        <x:v>debt amort</x:v>
      </x:c>
      <x:c r="D24" s="9" t="n">
        <x:f>'Assumptions'!D44</x:f>
        <x:v>2.15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20" customHeight="1">
      <x:c r="A25" s="2"/>
      <x:c r="B25" s="2"/>
      <x:c r="C25" s="2" t="str">
        <x:v>lease pay</x:v>
      </x:c>
      <x:c r="D25" s="9" t="n">
        <x:f>'Assumptions'!D21/4</x:f>
        <x:v>0.375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20" customHeight="1">
      <x:c r="A27" s="2"/>
      <x:c r="B27" s="2"/>
      <x:c r="C27" s="2" t="str">
        <x:v>cash</x:v>
      </x:c>
      <x:c r="D27" s="9" t="n">
        <x:f>'Historical &amp; Sources'!F24+D14-D17-D20-D23-D24-D25</x:f>
        <x:v>287.63860884720987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20" customHeight="1">
      <x:c r="A28" s="2"/>
      <x:c r="B28" s="2"/>
      <x:c r="C28" s="2" t="str">
        <x:v>ppe</x:v>
      </x:c>
      <x:c r="D28" s="9" t="n">
        <x:f>'Historical &amp; Sources'!F29+D23-D15</x:f>
        <x:v>408.14525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 ht="20" customHeight="1">
      <x:c r="A29" s="2"/>
      <x:c r="B29" s="2"/>
      <x:c r="C29" s="2" t="str">
        <x:v>intangibles</x:v>
      </x:c>
      <x:c r="D29" s="9" t="n">
        <x:f>'Historical &amp; Sources'!F32-D16</x:f>
        <x:v>990.825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 ht="20" customHeight="1">
      <x:c r="A30" s="2"/>
      <x:c r="B30" s="2"/>
      <x:c r="C30" s="2" t="str">
        <x:v>financial debt</x:v>
      </x:c>
      <x:c r="D30" s="9" t="n">
        <x:f>'Historical &amp; Sources'!F65+'Historical &amp; Sources'!F38-D24</x:f>
        <x:v>3407.1499999999996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 ht="20" customHeight="1">
      <x:c r="A31" s="2"/>
      <x:c r="B31" s="2"/>
      <x:c r="C31" s="2" t="str">
        <x:v>lease</x:v>
      </x:c>
      <x:c r="D31" s="9" t="n">
        <x:f>'Historical &amp; Sources'!F66-D25</x:f>
        <x:v>49.925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 ht="20" customHeight="1">
      <x:c r="A32" s="2"/>
      <x:c r="B32" s="2"/>
      <x:c r="C32" s="2" t="str">
        <x:v>remaining fees</x:v>
      </x:c>
      <x:c r="D32" s="9" t="n">
        <x:f>'Historical &amp; Sources'!F67-D18</x:f>
        <x:v>26.505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 ht="20" customHeight="1">
      <x:c r="A34" s="2"/>
      <x:c r="B34" s="2"/>
      <x:c r="C34" s="2" t="str">
        <x:v>assets</x:v>
      </x:c>
      <x:c r="D34" s="9" t="n">
        <x:f>'Historical &amp; Sources'!F35-'Historical &amp; Sources'!F24-'Historical &amp; Sources'!F29-'Historical &amp; Sources'!F32+D27+D28+D29</x:f>
        <x:v>4598.60885884721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 ht="20" customHeight="1">
      <x:c r="A35" s="2"/>
      <x:c r="B35" s="2"/>
      <x:c r="C35" s="2" t="str">
        <x:v>liabilities</x:v>
      </x:c>
      <x:c r="D35" s="9" t="n">
        <x:f>'Historical &amp; Sources'!F47-D24-D25+D18</x:f>
        <x:v>4385.670000000001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 ht="20" customHeight="1">
      <x:c r="A36" s="2"/>
      <x:c r="B36" s="2"/>
      <x:c r="C36" s="2" t="str">
        <x:v>equity</x:v>
      </x:c>
      <x:c r="D36" s="9" t="n">
        <x:f>'Historical &amp; Sources'!F48+D21</x:f>
        <x:v>212.93885884720981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 ht="32" customHeight="1">
      <x:c r="A39" s="2"/>
      <x:c r="B39" s="2"/>
      <x:c r="C39" s="13" t="str">
        <x:v>Oct–Dec 2025 estimate. Working capital, other balances and FX held flat. No dividends or acquisitions.</x:v>
      </x:c>
      <x:c r="D39" s="13"/>
      <x:c r="E39" s="13"/>
      <x:c r="F39" s="13"/>
      <x:c r="G39" s="13"/>
      <x:c r="H39" s="13"/>
      <x:c r="I39" s="13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 ht="32" customHeight="1">
      <x:c r="A41" s="2"/>
      <x:c r="B41" s="2"/>
      <x:c r="C41" s="13" t="str">
        <x:v>Bridge capex is an explicit 3% of FY2025 sales / 4. Interest uses 92/360. This quarter is not sourced actuals.</x:v>
      </x:c>
      <x:c r="D41" s="13"/>
      <x:c r="E41" s="13"/>
      <x:c r="F41" s="13"/>
      <x:c r="G41" s="13"/>
      <x:c r="H41" s="13"/>
      <x:c r="I41" s="13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</x:sheetData>
  <x:mergeCells>
    <x:mergeCell ref="C39:I39"/>
    <x:mergeCell ref="C41:I4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Operating Case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 s="8" t="n">
        <x:v>2026</x:v>
      </x:c>
      <x:c r="E8" s="8" t="n">
        <x:v>2027</x:v>
      </x:c>
      <x:c r="F8" s="8" t="n">
        <x:v>2028</x:v>
      </x:c>
      <x:c r="G8" s="8" t="n">
        <x:v>2029</x:v>
      </x:c>
      <x:c r="H8" s="8" t="n">
        <x:v>2030</x:v>
      </x:c>
      <x:c r="I8" s="2"/>
      <x:c r="J8" s="2"/>
      <x:c r="K8" s="11" t="n">
        <x:v>46112</x:v>
      </x:c>
      <x:c r="L8" s="11" t="n">
        <x:v>46203</x:v>
      </x:c>
      <x:c r="M8" s="11" t="n">
        <x:v>46295</x:v>
      </x:c>
      <x:c r="N8" s="11" t="n">
        <x:v>46387</x:v>
      </x:c>
      <x:c r="O8" s="11" t="n">
        <x:v>46477</x:v>
      </x:c>
      <x:c r="P8" s="11" t="n">
        <x:v>46568</x:v>
      </x:c>
      <x:c r="Q8" s="11" t="n">
        <x:v>46660</x:v>
      </x:c>
      <x:c r="R8" s="11" t="n">
        <x:v>46752</x:v>
      </x:c>
      <x:c r="S8" s="11" t="n">
        <x:v>46843</x:v>
      </x:c>
      <x:c r="T8" s="11" t="n">
        <x:v>46934</x:v>
      </x:c>
      <x:c r="U8" s="11" t="n">
        <x:v>47026</x:v>
      </x:c>
      <x:c r="V8" s="11" t="n">
        <x:v>47118</x:v>
      </x:c>
      <x:c r="W8" s="11" t="n">
        <x:v>47208</x:v>
      </x:c>
      <x:c r="X8" s="11" t="n">
        <x:v>47299</x:v>
      </x:c>
      <x:c r="Y8" s="11" t="n">
        <x:v>47391</x:v>
      </x:c>
      <x:c r="Z8" s="11" t="n">
        <x:v>47483</x:v>
      </x:c>
      <x:c r="AA8" s="11" t="n">
        <x:v>47573</x:v>
      </x:c>
      <x:c r="AB8" s="11" t="n">
        <x:v>47664</x:v>
      </x:c>
      <x:c r="AC8" s="11" t="n">
        <x:v>47756</x:v>
      </x:c>
      <x:c r="AD8" s="11" t="n">
        <x:v>47848</x:v>
      </x:c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Annual battery revenue</x:v>
      </x:c>
      <x:c r="D10" s="2" t="n">
        <x:f>N10</x:f>
        <x:v>2355.5604599999997</x:v>
      </x:c>
      <x:c r="E10" s="2" t="n">
        <x:f>R10</x:f>
        <x:v>2402.6716691999995</x:v>
      </x:c>
      <x:c r="F10" s="2" t="n">
        <x:f>V10</x:f>
        <x:v>2475.2323536098393</x:v>
      </x:c>
      <x:c r="G10" s="2" t="n">
        <x:f>Z10</x:f>
        <x:v>2549.984370688857</x:v>
      </x:c>
      <x:c r="H10" s="2" t="n">
        <x:f>AD10</x:f>
        <x:v>2626.99389868366</x:v>
      </x:c>
      <x:c r="I10" s="2"/>
      <x:c r="J10" s="2"/>
      <x:c r="K10" s="9" t="n">
        <x:f>'Historical &amp; Sources'!F59*(1+'Assumptions'!D51)*(1+'Assumptions'!D61)*(1+'Assumptions'!D66)</x:f>
        <x:v>2355.5604599999997</x:v>
      </x:c>
      <x:c r="L10" s="2" t="n">
        <x:f>K10</x:f>
        <x:v>2355.5604599999997</x:v>
      </x:c>
      <x:c r="M10" s="2" t="n">
        <x:f>K10</x:f>
        <x:v>2355.5604599999997</x:v>
      </x:c>
      <x:c r="N10" s="2" t="n">
        <x:f>K10</x:f>
        <x:v>2355.5604599999997</x:v>
      </x:c>
      <x:c r="O10" s="9" t="n">
        <x:f>'Operating Case'!K10*(1+'Assumptions'!E51)*(1+'Assumptions'!E61)*(1+'Assumptions'!E66)</x:f>
        <x:v>2402.6716691999995</x:v>
      </x:c>
      <x:c r="P10" s="2" t="n">
        <x:f>O10</x:f>
        <x:v>2402.6716691999995</x:v>
      </x:c>
      <x:c r="Q10" s="2" t="n">
        <x:f>O10</x:f>
        <x:v>2402.6716691999995</x:v>
      </x:c>
      <x:c r="R10" s="2" t="n">
        <x:f>O10</x:f>
        <x:v>2402.6716691999995</x:v>
      </x:c>
      <x:c r="S10" s="9" t="n">
        <x:f>'Operating Case'!O10*(1+'Assumptions'!F51)*(1+'Assumptions'!F61)*(1+'Assumptions'!F66)</x:f>
        <x:v>2475.2323536098393</x:v>
      </x:c>
      <x:c r="T10" s="2" t="n">
        <x:f>S10</x:f>
        <x:v>2475.2323536098393</x:v>
      </x:c>
      <x:c r="U10" s="2" t="n">
        <x:f>S10</x:f>
        <x:v>2475.2323536098393</x:v>
      </x:c>
      <x:c r="V10" s="2" t="n">
        <x:f>S10</x:f>
        <x:v>2475.2323536098393</x:v>
      </x:c>
      <x:c r="W10" s="9" t="n">
        <x:f>'Operating Case'!S10*(1+'Assumptions'!G51)*(1+'Assumptions'!G61)*(1+'Assumptions'!G66)</x:f>
        <x:v>2549.984370688857</x:v>
      </x:c>
      <x:c r="X10" s="2" t="n">
        <x:f>W10</x:f>
        <x:v>2549.984370688857</x:v>
      </x:c>
      <x:c r="Y10" s="2" t="n">
        <x:f>W10</x:f>
        <x:v>2549.984370688857</x:v>
      </x:c>
      <x:c r="Z10" s="2" t="n">
        <x:f>W10</x:f>
        <x:v>2549.984370688857</x:v>
      </x:c>
      <x:c r="AA10" s="9" t="n">
        <x:f>'Operating Case'!W10*(1+'Assumptions'!H51)*(1+'Assumptions'!H61)*(1+'Assumptions'!H66)</x:f>
        <x:v>2626.99389868366</x:v>
      </x:c>
      <x:c r="AB10" s="2" t="n">
        <x:f>AA10</x:f>
        <x:v>2626.99389868366</x:v>
      </x:c>
      <x:c r="AC10" s="2" t="n">
        <x:f>AA10</x:f>
        <x:v>2626.99389868366</x:v>
      </x:c>
      <x:c r="AD10" s="2" t="n">
        <x:f>AA10</x:f>
        <x:v>2626.99389868366</x:v>
      </x:c>
    </x:row>
    <x:row r="11" ht="20" customHeight="1">
      <x:c r="A11" s="2"/>
      <x:c r="B11" s="2"/>
      <x:c r="C11" s="2" t="str">
        <x:v>Annual Auto Care revenue</x:v>
      </x:c>
      <x:c r="D11" s="2" t="n">
        <x:f>N11</x:f>
        <x:v>632.4</x:v>
      </x:c>
      <x:c r="E11" s="2" t="n">
        <x:f>R11</x:f>
        <x:v>651.49848</x:v>
      </x:c>
      <x:c r="F11" s="2" t="n">
        <x:f>V11</x:f>
        <x:v>674.4963763439999</x:v>
      </x:c>
      <x:c r="G11" s="2" t="n">
        <x:f>Z11</x:f>
        <x:v>698.3060984289431</x:v>
      </x:c>
      <x:c r="H11" s="2" t="n">
        <x:f>AD11</x:f>
        <x:v>722.9563037034847</x:v>
      </x:c>
      <x:c r="I11" s="2"/>
      <x:c r="J11" s="2"/>
      <x:c r="K11" s="9" t="n">
        <x:f>'Historical &amp; Sources'!F60*(1+'Assumptions'!D56)*(1+'Assumptions'!D61)*(1+'Assumptions'!D66)</x:f>
        <x:v>632.4</x:v>
      </x:c>
      <x:c r="L11" s="2" t="n">
        <x:f>K11</x:f>
        <x:v>632.4</x:v>
      </x:c>
      <x:c r="M11" s="2" t="n">
        <x:f>K11</x:f>
        <x:v>632.4</x:v>
      </x:c>
      <x:c r="N11" s="2" t="n">
        <x:f>K11</x:f>
        <x:v>632.4</x:v>
      </x:c>
      <x:c r="O11" s="9" t="n">
        <x:f>'Operating Case'!K11*(1+'Assumptions'!E56)*(1+'Assumptions'!E61)*(1+'Assumptions'!E66)</x:f>
        <x:v>651.49848</x:v>
      </x:c>
      <x:c r="P11" s="2" t="n">
        <x:f>O11</x:f>
        <x:v>651.49848</x:v>
      </x:c>
      <x:c r="Q11" s="2" t="n">
        <x:f>O11</x:f>
        <x:v>651.49848</x:v>
      </x:c>
      <x:c r="R11" s="2" t="n">
        <x:f>O11</x:f>
        <x:v>651.49848</x:v>
      </x:c>
      <x:c r="S11" s="9" t="n">
        <x:f>'Operating Case'!O11*(1+'Assumptions'!F56)*(1+'Assumptions'!F61)*(1+'Assumptions'!F66)</x:f>
        <x:v>674.4963763439999</x:v>
      </x:c>
      <x:c r="T11" s="2" t="n">
        <x:f>S11</x:f>
        <x:v>674.4963763439999</x:v>
      </x:c>
      <x:c r="U11" s="2" t="n">
        <x:f>S11</x:f>
        <x:v>674.4963763439999</x:v>
      </x:c>
      <x:c r="V11" s="2" t="n">
        <x:f>S11</x:f>
        <x:v>674.4963763439999</x:v>
      </x:c>
      <x:c r="W11" s="9" t="n">
        <x:f>'Operating Case'!S11*(1+'Assumptions'!G56)*(1+'Assumptions'!G61)*(1+'Assumptions'!G66)</x:f>
        <x:v>698.3060984289431</x:v>
      </x:c>
      <x:c r="X11" s="2" t="n">
        <x:f>W11</x:f>
        <x:v>698.3060984289431</x:v>
      </x:c>
      <x:c r="Y11" s="2" t="n">
        <x:f>W11</x:f>
        <x:v>698.3060984289431</x:v>
      </x:c>
      <x:c r="Z11" s="2" t="n">
        <x:f>W11</x:f>
        <x:v>698.3060984289431</x:v>
      </x:c>
      <x:c r="AA11" s="9" t="n">
        <x:f>'Operating Case'!W11*(1+'Assumptions'!H56)*(1+'Assumptions'!H61)*(1+'Assumptions'!H66)</x:f>
        <x:v>722.9563037034847</x:v>
      </x:c>
      <x:c r="AB11" s="2" t="n">
        <x:f>AA11</x:f>
        <x:v>722.9563037034847</x:v>
      </x:c>
      <x:c r="AC11" s="2" t="n">
        <x:f>AA11</x:f>
        <x:v>722.9563037034847</x:v>
      </x:c>
      <x:c r="AD11" s="2" t="n">
        <x:f>AA11</x:f>
        <x:v>722.9563037034847</x:v>
      </x:c>
    </x:row>
    <x:row r="12" ht="20" customHeight="1">
      <x:c r="A12" s="2"/>
      <x:c r="B12" s="2"/>
      <x:c r="C12" s="2" t="str">
        <x:v>Battery cash gross margin</x:v>
      </x:c>
      <x:c r="D12" s="15" t="n">
        <x:f>N12</x:f>
        <x:v>0.41350066446606937</x:v>
      </x:c>
      <x:c r="E12" s="15" t="n">
        <x:f>R12</x:f>
        <x:v>0.41350066446606937</x:v>
      </x:c>
      <x:c r="F12" s="15" t="n">
        <x:f>V12</x:f>
        <x:v>0.41850066446606937</x:v>
      </x:c>
      <x:c r="G12" s="15" t="n">
        <x:f>Z12</x:f>
        <x:v>0.4235006644660694</x:v>
      </x:c>
      <x:c r="H12" s="15" t="n">
        <x:f>AD12</x:f>
        <x:v>0.4285006644660694</x:v>
      </x:c>
      <x:c r="I12" s="15"/>
      <x:c r="J12" s="15"/>
      <x:c r="K12" s="20" t="n">
        <x:f>'Historical &amp; Sources'!D98+'Assumptions'!D71</x:f>
        <x:v>0.41350066446606937</x:v>
      </x:c>
      <x:c r="L12" s="15" t="n">
        <x:f>K12</x:f>
        <x:v>0.41350066446606937</x:v>
      </x:c>
      <x:c r="M12" s="15" t="n">
        <x:f>K12</x:f>
        <x:v>0.41350066446606937</x:v>
      </x:c>
      <x:c r="N12" s="15" t="n">
        <x:f>K12</x:f>
        <x:v>0.41350066446606937</x:v>
      </x:c>
      <x:c r="O12" s="20" t="n">
        <x:f>'Operating Case'!K12+'Assumptions'!E71</x:f>
        <x:v>0.41350066446606937</x:v>
      </x:c>
      <x:c r="P12" s="15" t="n">
        <x:f>O12</x:f>
        <x:v>0.41350066446606937</x:v>
      </x:c>
      <x:c r="Q12" s="15" t="n">
        <x:f>O12</x:f>
        <x:v>0.41350066446606937</x:v>
      </x:c>
      <x:c r="R12" s="15" t="n">
        <x:f>O12</x:f>
        <x:v>0.41350066446606937</x:v>
      </x:c>
      <x:c r="S12" s="20" t="n">
        <x:f>'Operating Case'!O12+'Assumptions'!F71</x:f>
        <x:v>0.41850066446606937</x:v>
      </x:c>
      <x:c r="T12" s="15" t="n">
        <x:f>S12</x:f>
        <x:v>0.41850066446606937</x:v>
      </x:c>
      <x:c r="U12" s="15" t="n">
        <x:f>S12</x:f>
        <x:v>0.41850066446606937</x:v>
      </x:c>
      <x:c r="V12" s="15" t="n">
        <x:f>S12</x:f>
        <x:v>0.41850066446606937</x:v>
      </x:c>
      <x:c r="W12" s="20" t="n">
        <x:f>'Operating Case'!S12+'Assumptions'!G71</x:f>
        <x:v>0.4235006644660694</x:v>
      </x:c>
      <x:c r="X12" s="15" t="n">
        <x:f>W12</x:f>
        <x:v>0.4235006644660694</x:v>
      </x:c>
      <x:c r="Y12" s="15" t="n">
        <x:f>W12</x:f>
        <x:v>0.4235006644660694</x:v>
      </x:c>
      <x:c r="Z12" s="15" t="n">
        <x:f>W12</x:f>
        <x:v>0.4235006644660694</x:v>
      </x:c>
      <x:c r="AA12" s="20" t="n">
        <x:f>'Operating Case'!W12+'Assumptions'!H71</x:f>
        <x:v>0.4285006644660694</x:v>
      </x:c>
      <x:c r="AB12" s="15" t="n">
        <x:f>AA12</x:f>
        <x:v>0.4285006644660694</x:v>
      </x:c>
      <x:c r="AC12" s="15" t="n">
        <x:f>AA12</x:f>
        <x:v>0.4285006644660694</x:v>
      </x:c>
      <x:c r="AD12" s="15" t="n">
        <x:f>AA12</x:f>
        <x:v>0.4285006644660694</x:v>
      </x:c>
    </x:row>
    <x:row r="13" ht="20" customHeight="1">
      <x:c r="A13" s="2"/>
      <x:c r="B13" s="2"/>
      <x:c r="C13" s="2" t="str">
        <x:v>Auto cash gross margin</x:v>
      </x:c>
      <x:c r="D13" s="15" t="n">
        <x:f>N13</x:f>
        <x:v>0.38661290322580644</x:v>
      </x:c>
      <x:c r="E13" s="15" t="n">
        <x:f>R13</x:f>
        <x:v>0.38661290322580644</x:v>
      </x:c>
      <x:c r="F13" s="15" t="n">
        <x:f>V13</x:f>
        <x:v>0.39161290322580644</x:v>
      </x:c>
      <x:c r="G13" s="15" t="n">
        <x:f>Z13</x:f>
        <x:v>0.39661290322580645</x:v>
      </x:c>
      <x:c r="H13" s="15" t="n">
        <x:f>AD13</x:f>
        <x:v>0.40161290322580645</x:v>
      </x:c>
      <x:c r="I13" s="15"/>
      <x:c r="J13" s="15"/>
      <x:c r="K13" s="20" t="n">
        <x:f>'Historical &amp; Sources'!D99+'Assumptions'!D71</x:f>
        <x:v>0.38661290322580644</x:v>
      </x:c>
      <x:c r="L13" s="15" t="n">
        <x:f>K13</x:f>
        <x:v>0.38661290322580644</x:v>
      </x:c>
      <x:c r="M13" s="15" t="n">
        <x:f>K13</x:f>
        <x:v>0.38661290322580644</x:v>
      </x:c>
      <x:c r="N13" s="15" t="n">
        <x:f>K13</x:f>
        <x:v>0.38661290322580644</x:v>
      </x:c>
      <x:c r="O13" s="20" t="n">
        <x:f>'Operating Case'!K13+'Assumptions'!E71</x:f>
        <x:v>0.38661290322580644</x:v>
      </x:c>
      <x:c r="P13" s="15" t="n">
        <x:f>O13</x:f>
        <x:v>0.38661290322580644</x:v>
      </x:c>
      <x:c r="Q13" s="15" t="n">
        <x:f>O13</x:f>
        <x:v>0.38661290322580644</x:v>
      </x:c>
      <x:c r="R13" s="15" t="n">
        <x:f>O13</x:f>
        <x:v>0.38661290322580644</x:v>
      </x:c>
      <x:c r="S13" s="20" t="n">
        <x:f>'Operating Case'!O13+'Assumptions'!F71</x:f>
        <x:v>0.39161290322580644</x:v>
      </x:c>
      <x:c r="T13" s="15" t="n">
        <x:f>S13</x:f>
        <x:v>0.39161290322580644</x:v>
      </x:c>
      <x:c r="U13" s="15" t="n">
        <x:f>S13</x:f>
        <x:v>0.39161290322580644</x:v>
      </x:c>
      <x:c r="V13" s="15" t="n">
        <x:f>S13</x:f>
        <x:v>0.39161290322580644</x:v>
      </x:c>
      <x:c r="W13" s="20" t="n">
        <x:f>'Operating Case'!S13+'Assumptions'!G71</x:f>
        <x:v>0.39661290322580645</x:v>
      </x:c>
      <x:c r="X13" s="15" t="n">
        <x:f>W13</x:f>
        <x:v>0.39661290322580645</x:v>
      </x:c>
      <x:c r="Y13" s="15" t="n">
        <x:f>W13</x:f>
        <x:v>0.39661290322580645</x:v>
      </x:c>
      <x:c r="Z13" s="15" t="n">
        <x:f>W13</x:f>
        <x:v>0.39661290322580645</x:v>
      </x:c>
      <x:c r="AA13" s="20" t="n">
        <x:f>'Operating Case'!W13+'Assumptions'!H71</x:f>
        <x:v>0.40161290322580645</x:v>
      </x:c>
      <x:c r="AB13" s="15" t="n">
        <x:f>AA13</x:f>
        <x:v>0.40161290322580645</x:v>
      </x:c>
      <x:c r="AC13" s="15" t="n">
        <x:f>AA13</x:f>
        <x:v>0.40161290322580645</x:v>
      </x:c>
      <x:c r="AD13" s="15" t="n">
        <x:f>AA13</x:f>
        <x:v>0.40161290322580645</x:v>
      </x:c>
    </x:row>
    <x:row r="14" ht="20" customHeight="1">
      <x:c r="A14" s="2"/>
      <x:c r="B14" s="2"/>
      <x:c r="C14" s="2" t="str">
        <x:v>Annual fixed SG&amp;A</x:v>
      </x:c>
      <x:c r="D14" s="2" t="n">
        <x:f>N14</x:f>
        <x:v>505.41</x:v>
      </x:c>
      <x:c r="E14" s="2" t="n">
        <x:f>R14</x:f>
        <x:v>515.5182</x:v>
      </x:c>
      <x:c r="F14" s="2" t="n">
        <x:f>V14</x:f>
        <x:v>525.828564</x:v>
      </x:c>
      <x:c r="G14" s="2" t="n">
        <x:f>Z14</x:f>
        <x:v>536.34513528</x:v>
      </x:c>
      <x:c r="H14" s="2" t="n">
        <x:f>AD14</x:f>
        <x:v>547.0720379856</x:v>
      </x:c>
      <x:c r="I14" s="2"/>
      <x:c r="J14" s="2"/>
      <x:c r="K14" s="9" t="n">
        <x:f>'Historical &amp; Sources'!F77*(1+'Assumptions'!D76)</x:f>
        <x:v>505.41</x:v>
      </x:c>
      <x:c r="L14" s="2" t="n">
        <x:f>K14</x:f>
        <x:v>505.41</x:v>
      </x:c>
      <x:c r="M14" s="2" t="n">
        <x:f>K14</x:f>
        <x:v>505.41</x:v>
      </x:c>
      <x:c r="N14" s="2" t="n">
        <x:f>K14</x:f>
        <x:v>505.41</x:v>
      </x:c>
      <x:c r="O14" s="9" t="n">
        <x:f>'Operating Case'!K14*(1+'Assumptions'!E76)</x:f>
        <x:v>515.5182</x:v>
      </x:c>
      <x:c r="P14" s="2" t="n">
        <x:f>O14</x:f>
        <x:v>515.5182</x:v>
      </x:c>
      <x:c r="Q14" s="2" t="n">
        <x:f>O14</x:f>
        <x:v>515.5182</x:v>
      </x:c>
      <x:c r="R14" s="2" t="n">
        <x:f>O14</x:f>
        <x:v>515.5182</x:v>
      </x:c>
      <x:c r="S14" s="9" t="n">
        <x:f>'Operating Case'!O14*(1+'Assumptions'!F76)</x:f>
        <x:v>525.828564</x:v>
      </x:c>
      <x:c r="T14" s="2" t="n">
        <x:f>S14</x:f>
        <x:v>525.828564</x:v>
      </x:c>
      <x:c r="U14" s="2" t="n">
        <x:f>S14</x:f>
        <x:v>525.828564</x:v>
      </x:c>
      <x:c r="V14" s="2" t="n">
        <x:f>S14</x:f>
        <x:v>525.828564</x:v>
      </x:c>
      <x:c r="W14" s="9" t="n">
        <x:f>'Operating Case'!S14*(1+'Assumptions'!G76)</x:f>
        <x:v>536.34513528</x:v>
      </x:c>
      <x:c r="X14" s="2" t="n">
        <x:f>W14</x:f>
        <x:v>536.34513528</x:v>
      </x:c>
      <x:c r="Y14" s="2" t="n">
        <x:f>W14</x:f>
        <x:v>536.34513528</x:v>
      </x:c>
      <x:c r="Z14" s="2" t="n">
        <x:f>W14</x:f>
        <x:v>536.34513528</x:v>
      </x:c>
      <x:c r="AA14" s="9" t="n">
        <x:f>'Operating Case'!W14*(1+'Assumptions'!H76)</x:f>
        <x:v>547.0720379856</x:v>
      </x:c>
      <x:c r="AB14" s="2" t="n">
        <x:f>AA14</x:f>
        <x:v>547.0720379856</x:v>
      </x:c>
      <x:c r="AC14" s="2" t="n">
        <x:f>AA14</x:f>
        <x:v>547.0720379856</x:v>
      </x:c>
      <x:c r="AD14" s="2" t="n">
        <x:f>AA14</x:f>
        <x:v>547.0720379856</x:v>
      </x:c>
    </x:row>
    <x:row r="15" ht="20" customHeight="1">
      <x:c r="A15" s="2"/>
      <x:c r="B15" s="2"/>
      <x:c r="C15" s="2" t="str">
        <x:v>Annual cash cost of sales</x:v>
      </x:c>
      <x:c r="D15" s="2" t="n">
        <x:f>N15</x:f>
        <x:v>1769.4406445999998</x:v>
      </x:c>
      <x:c r="E15" s="2" t="n">
        <x:f>R15</x:f>
        <x:v>1808.7860986919998</x:v>
      </x:c>
      <x:c r="F15" s="2" t="n">
        <x:f>V15</x:f>
        <x:v>1849.7008611048486</x:v>
      </x:c>
      <x:c r="G15" s="2" t="n">
        <x:f>Z15</x:f>
        <x:v>1891.4131847147885</x:v>
      </x:c>
      <x:c r="H15" s="2" t="n">
        <x:f>AD15</x:f>
        <x:v>1933.932991217132</x:v>
      </x:c>
      <x:c r="I15" s="2"/>
      <x:c r="J15" s="2"/>
      <x:c r="K15" s="2" t="n">
        <x:f>K10*(1-K12)+K11*(1-K13)</x:f>
        <x:v>1769.4406445999998</x:v>
      </x:c>
      <x:c r="L15" s="2" t="n">
        <x:f>L10*(1-L12)+L11*(1-L13)</x:f>
        <x:v>1769.4406445999998</x:v>
      </x:c>
      <x:c r="M15" s="2" t="n">
        <x:f>M10*(1-M12)+M11*(1-M13)</x:f>
        <x:v>1769.4406445999998</x:v>
      </x:c>
      <x:c r="N15" s="2" t="n">
        <x:f>N10*(1-N12)+N11*(1-N13)</x:f>
        <x:v>1769.4406445999998</x:v>
      </x:c>
      <x:c r="O15" s="2" t="n">
        <x:f>O10*(1-O12)+O11*(1-O13)</x:f>
        <x:v>1808.7860986919998</x:v>
      </x:c>
      <x:c r="P15" s="2" t="n">
        <x:f>P10*(1-P12)+P11*(1-P13)</x:f>
        <x:v>1808.7860986919998</x:v>
      </x:c>
      <x:c r="Q15" s="2" t="n">
        <x:f>Q10*(1-Q12)+Q11*(1-Q13)</x:f>
        <x:v>1808.7860986919998</x:v>
      </x:c>
      <x:c r="R15" s="2" t="n">
        <x:f>R10*(1-R12)+R11*(1-R13)</x:f>
        <x:v>1808.7860986919998</x:v>
      </x:c>
      <x:c r="S15" s="2" t="n">
        <x:f>S10*(1-S12)+S11*(1-S13)</x:f>
        <x:v>1849.7008611048486</x:v>
      </x:c>
      <x:c r="T15" s="2" t="n">
        <x:f>T10*(1-T12)+T11*(1-T13)</x:f>
        <x:v>1849.7008611048486</x:v>
      </x:c>
      <x:c r="U15" s="2" t="n">
        <x:f>U10*(1-U12)+U11*(1-U13)</x:f>
        <x:v>1849.7008611048486</x:v>
      </x:c>
      <x:c r="V15" s="2" t="n">
        <x:f>V10*(1-V12)+V11*(1-V13)</x:f>
        <x:v>1849.7008611048486</x:v>
      </x:c>
      <x:c r="W15" s="2" t="n">
        <x:f>W10*(1-W12)+W11*(1-W13)</x:f>
        <x:v>1891.4131847147885</x:v>
      </x:c>
      <x:c r="X15" s="2" t="n">
        <x:f>X10*(1-X12)+X11*(1-X13)</x:f>
        <x:v>1891.4131847147885</x:v>
      </x:c>
      <x:c r="Y15" s="2" t="n">
        <x:f>Y10*(1-Y12)+Y11*(1-Y13)</x:f>
        <x:v>1891.4131847147885</x:v>
      </x:c>
      <x:c r="Z15" s="2" t="n">
        <x:f>Z10*(1-Z12)+Z11*(1-Z13)</x:f>
        <x:v>1891.4131847147885</x:v>
      </x:c>
      <x:c r="AA15" s="2" t="n">
        <x:f>AA10*(1-AA12)+AA11*(1-AA13)</x:f>
        <x:v>1933.932991217132</x:v>
      </x:c>
      <x:c r="AB15" s="2" t="n">
        <x:f>AB10*(1-AB12)+AB11*(1-AB13)</x:f>
        <x:v>1933.932991217132</x:v>
      </x:c>
      <x:c r="AC15" s="2" t="n">
        <x:f>AC10*(1-AC12)+AC11*(1-AC13)</x:f>
        <x:v>1933.932991217132</x:v>
      </x:c>
      <x:c r="AD15" s="2" t="n">
        <x:f>AD10*(1-AD12)+AD11*(1-AD13)</x:f>
        <x:v>1933.932991217132</x:v>
      </x:c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23" customHeight="1">
      <x:c r="A17" s="2"/>
      <x:c r="B17" s="2"/>
      <x:c r="C17" s="23" t="str">
        <x:v>Income statement</x:v>
      </x:c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</x:row>
    <x:row r="18" ht="20" customHeight="1">
      <x:c r="A18" s="2"/>
      <x:c r="B18" s="2"/>
      <x:c r="C18" s="2" t="str">
        <x:v>Batteries &amp; Lights revenue</x:v>
      </x:c>
      <x:c r="D18" s="2" t="n">
        <x:f>SUM(K18:N18)</x:f>
        <x:v>2355.5604599999997</x:v>
      </x:c>
      <x:c r="E18" s="2" t="n">
        <x:f>SUM(O18:R18)</x:f>
        <x:v>2402.6716692</x:v>
      </x:c>
      <x:c r="F18" s="2" t="n">
        <x:f>SUM(S18:V18)</x:f>
        <x:v>2475.2323536098393</x:v>
      </x:c>
      <x:c r="G18" s="2" t="n">
        <x:f>SUM(W18:Z18)</x:f>
        <x:v>2549.984370688857</x:v>
      </x:c>
      <x:c r="H18" s="2" t="n">
        <x:f>SUM(AA18:AD18)</x:f>
        <x:v>2626.99389868366</x:v>
      </x:c>
      <x:c r="I18" s="2"/>
      <x:c r="J18" s="2"/>
      <x:c r="K18" s="9" t="n">
        <x:f>K10*'Historical &amp; Sources'!F80/'Historical &amp; Sources'!F59</x:f>
        <x:v>492.7824</x:v>
      </x:c>
      <x:c r="L18" s="9" t="n">
        <x:f>L10*'Historical &amp; Sources'!F81/'Historical &amp; Sources'!F59</x:f>
        <x:v>540.34398</x:v>
      </x:c>
      <x:c r="M18" s="9" t="n">
        <x:f>M10*'Historical &amp; Sources'!F82/'Historical &amp; Sources'!F59</x:f>
        <x:v>683.8365600000001</x:v>
      </x:c>
      <x:c r="N18" s="9" t="n">
        <x:f>N10*'Historical &amp; Sources'!F79/'Historical &amp; Sources'!F59</x:f>
        <x:v>638.5975199999999</x:v>
      </x:c>
      <x:c r="O18" s="9" t="n">
        <x:f>O10*'Historical &amp; Sources'!F80/'Historical &amp; Sources'!F59</x:f>
        <x:v>502.63804799999997</x:v>
      </x:c>
      <x:c r="P18" s="9" t="n">
        <x:f>P10*'Historical &amp; Sources'!F81/'Historical &amp; Sources'!F59</x:f>
        <x:v>551.1508596</x:v>
      </x:c>
      <x:c r="Q18" s="9" t="n">
        <x:f>Q10*'Historical &amp; Sources'!F82/'Historical &amp; Sources'!F59</x:f>
        <x:v>697.5132912</x:v>
      </x:c>
      <x:c r="R18" s="9" t="n">
        <x:f>R10*'Historical &amp; Sources'!F79/'Historical &amp; Sources'!F59</x:f>
        <x:v>651.3694703999998</x:v>
      </x:c>
      <x:c r="S18" s="9" t="n">
        <x:f>S10*'Historical &amp; Sources'!F80/'Historical &amp; Sources'!F59</x:f>
        <x:v>517.8177170495999</x:v>
      </x:c>
      <x:c r="T18" s="9" t="n">
        <x:f>T10*'Historical &amp; Sources'!F81/'Historical &amp; Sources'!F59</x:f>
        <x:v>567.7956155599198</x:v>
      </x:c>
      <x:c r="U18" s="9" t="n">
        <x:f>U10*'Historical &amp; Sources'!F82/'Historical &amp; Sources'!F59</x:f>
        <x:v>718.5781925942399</x:v>
      </x:c>
      <x:c r="V18" s="9" t="n">
        <x:f>V10*'Historical &amp; Sources'!F79/'Historical &amp; Sources'!F59</x:f>
        <x:v>671.0408284060799</x:v>
      </x:c>
      <x:c r="W18" s="9" t="n">
        <x:f>W10*'Historical &amp; Sources'!F80/'Historical &amp; Sources'!F59</x:f>
        <x:v>533.4558121044979</x:v>
      </x:c>
      <x:c r="X18" s="9" t="n">
        <x:f>X10*'Historical &amp; Sources'!F81/'Historical &amp; Sources'!F59</x:f>
        <x:v>584.9430431498296</x:v>
      </x:c>
      <x:c r="Y18" s="9" t="n">
        <x:f>Y10*'Historical &amp; Sources'!F82/'Historical &amp; Sources'!F59</x:f>
        <x:v>740.279254010586</x:v>
      </x:c>
      <x:c r="Z18" s="9" t="n">
        <x:f>Z10*'Historical &amp; Sources'!F79/'Historical &amp; Sources'!F59</x:f>
        <x:v>691.3062614239435</x:v>
      </x:c>
      <x:c r="AA18" s="9" t="n">
        <x:f>AA10*'Historical &amp; Sources'!F80/'Historical &amp; Sources'!F59</x:f>
        <x:v>549.5661776300536</x:v>
      </x:c>
      <x:c r="AB18" s="9" t="n">
        <x:f>AB10*'Historical &amp; Sources'!F81/'Historical &amp; Sources'!F59</x:f>
        <x:v>602.6083230529543</x:v>
      </x:c>
      <x:c r="AC18" s="9" t="n">
        <x:f>AC10*'Historical &amp; Sources'!F82/'Historical &amp; Sources'!F59</x:f>
        <x:v>762.6356874817058</x:v>
      </x:c>
      <x:c r="AD18" s="9" t="n">
        <x:f>AD10*'Historical &amp; Sources'!F79/'Historical &amp; Sources'!F59</x:f>
        <x:v>712.1837105189466</x:v>
      </x:c>
    </x:row>
    <x:row r="19" ht="20" customHeight="1">
      <x:c r="A19" s="2"/>
      <x:c r="B19" s="2"/>
      <x:c r="C19" s="2" t="str">
        <x:v>Auto Care revenue</x:v>
      </x:c>
      <x:c r="D19" s="2" t="n">
        <x:f>SUM(K19:N19)</x:f>
        <x:v>632.3999999999999</x:v>
      </x:c>
      <x:c r="E19" s="2" t="n">
        <x:f>SUM(O19:R19)</x:f>
        <x:v>651.49848</x:v>
      </x:c>
      <x:c r="F19" s="2" t="n">
        <x:f>SUM(S19:V19)</x:f>
        <x:v>674.4963763439999</x:v>
      </x:c>
      <x:c r="G19" s="2" t="n">
        <x:f>SUM(W19:Z19)</x:f>
        <x:v>698.3060984289431</x:v>
      </x:c>
      <x:c r="H19" s="2" t="n">
        <x:f>SUM(AA19:AD19)</x:f>
        <x:v>722.9563037034847</x:v>
      </x:c>
      <x:c r="I19" s="2"/>
      <x:c r="J19" s="2"/>
      <x:c r="K19" s="9" t="n">
        <x:f>K11*'Historical &amp; Sources'!F84/'Historical &amp; Sources'!F60</x:f>
        <x:v>178.398</x:v>
      </x:c>
      <x:c r="L19" s="9" t="n">
        <x:f>L11*'Historical &amp; Sources'!F85/'Historical &amp; Sources'!F60</x:f>
        <x:v>194.00399999999996</x:v>
      </x:c>
      <x:c r="M19" s="9" t="n">
        <x:f>M11*'Historical &amp; Sources'!F86/'Historical &amp; Sources'!F60</x:f>
        <x:v>158.712</x:v>
      </x:c>
      <x:c r="N19" s="9" t="n">
        <x:f>N11*'Historical &amp; Sources'!F83/'Historical &amp; Sources'!F60</x:f>
        <x:v>101.28599999999999</x:v>
      </x:c>
      <x:c r="O19" s="9" t="n">
        <x:f>O11*'Historical &amp; Sources'!F84/'Historical &amp; Sources'!F60</x:f>
        <x:v>183.7856196</x:v>
      </x:c>
      <x:c r="P19" s="9" t="n">
        <x:f>P11*'Historical &amp; Sources'!F85/'Historical &amp; Sources'!F60</x:f>
        <x:v>199.86292079999998</x:v>
      </x:c>
      <x:c r="Q19" s="9" t="n">
        <x:f>Q11*'Historical &amp; Sources'!F86/'Historical &amp; Sources'!F60</x:f>
        <x:v>163.5051024</x:v>
      </x:c>
      <x:c r="R19" s="9" t="n">
        <x:f>R11*'Historical &amp; Sources'!F83/'Historical &amp; Sources'!F60</x:f>
        <x:v>104.3448372</x:v>
      </x:c>
      <x:c r="S19" s="9" t="n">
        <x:f>S11*'Historical &amp; Sources'!F84/'Historical &amp; Sources'!F60</x:f>
        <x:v>190.27325197187997</x:v>
      </x:c>
      <x:c r="T19" s="9" t="n">
        <x:f>T11*'Historical &amp; Sources'!F85/'Historical &amp; Sources'!F60</x:f>
        <x:v>206.91808190423998</x:v>
      </x:c>
      <x:c r="U19" s="9" t="n">
        <x:f>U11*'Historical &amp; Sources'!F86/'Historical &amp; Sources'!F60</x:f>
        <x:v>169.27683251471998</x:v>
      </x:c>
      <x:c r="V19" s="9" t="n">
        <x:f>V11*'Historical &amp; Sources'!F83/'Historical &amp; Sources'!F60</x:f>
        <x:v>108.02820995315999</x:v>
      </x:c>
      <x:c r="W19" s="9" t="n">
        <x:f>W11*'Historical &amp; Sources'!F84/'Historical &amp; Sources'!F60</x:f>
        <x:v>196.98989776648733</x:v>
      </x:c>
      <x:c r="X19" s="9" t="n">
        <x:f>X11*'Historical &amp; Sources'!F85/'Historical &amp; Sources'!F60</x:f>
        <x:v>214.22229019545964</x:v>
      </x:c>
      <x:c r="Y19" s="9" t="n">
        <x:f>Y11*'Historical &amp; Sources'!F86/'Historical &amp; Sources'!F60</x:f>
        <x:v>175.25230470248957</x:v>
      </x:c>
      <x:c r="Z19" s="9" t="n">
        <x:f>Z11*'Historical &amp; Sources'!F83/'Historical &amp; Sources'!F60</x:f>
        <x:v>111.84160576450654</x:v>
      </x:c>
      <x:c r="AA19" s="9" t="n">
        <x:f>AA11*'Historical &amp; Sources'!F84/'Historical &amp; Sources'!F60</x:f>
        <x:v>203.9436411576443</x:v>
      </x:c>
      <x:c r="AB19" s="9" t="n">
        <x:f>AB11*'Historical &amp; Sources'!F85/'Historical &amp; Sources'!F60</x:f>
        <x:v>221.78433703935931</x:v>
      </x:c>
      <x:c r="AC19" s="9" t="n">
        <x:f>AC11*'Historical &amp; Sources'!F86/'Historical &amp; Sources'!F60</x:f>
        <x:v>181.43871105848743</x:v>
      </x:c>
      <x:c r="AD19" s="9" t="n">
        <x:f>AD11*'Historical &amp; Sources'!F83/'Historical &amp; Sources'!F60</x:f>
        <x:v>115.78961444799359</x:v>
      </x:c>
    </x:row>
    <x:row r="20" ht="20" customHeight="1">
      <x:c r="A20" s="2"/>
      <x:c r="B20" s="2"/>
      <x:c r="C20" s="2" t="str">
        <x:v>Revenue</x:v>
      </x:c>
      <x:c r="D20" s="2" t="n">
        <x:f>SUM(K20:N20)</x:f>
        <x:v>2987.96046</x:v>
      </x:c>
      <x:c r="E20" s="2" t="n">
        <x:f>SUM(O20:R20)</x:f>
        <x:v>3054.1701491999997</x:v>
      </x:c>
      <x:c r="F20" s="2" t="n">
        <x:f>SUM(S20:V20)</x:f>
        <x:v>3149.7287299538393</x:v>
      </x:c>
      <x:c r="G20" s="2" t="n">
        <x:f>SUM(W20:Z20)</x:f>
        <x:v>3248.2904691178005</x:v>
      </x:c>
      <x:c r="H20" s="2" t="n">
        <x:f>SUM(AA20:AD20)</x:f>
        <x:v>3349.950202387145</x:v>
      </x:c>
      <x:c r="I20" s="2"/>
      <x:c r="J20" s="2"/>
      <x:c r="K20" s="2" t="n">
        <x:f>SUM(K18:K19)</x:f>
        <x:v>671.1804</x:v>
      </x:c>
      <x:c r="L20" s="2" t="n">
        <x:f>SUM(L18:L19)</x:f>
        <x:v>734.34798</x:v>
      </x:c>
      <x:c r="M20" s="2" t="n">
        <x:f>SUM(M18:M19)</x:f>
        <x:v>842.5485600000001</x:v>
      </x:c>
      <x:c r="N20" s="2" t="n">
        <x:f>SUM(N18:N19)</x:f>
        <x:v>739.8835199999999</x:v>
      </x:c>
      <x:c r="O20" s="2" t="n">
        <x:f>SUM(O18:O19)</x:f>
        <x:v>686.4236675999999</x:v>
      </x:c>
      <x:c r="P20" s="2" t="n">
        <x:f>SUM(P18:P19)</x:f>
        <x:v>751.0137804</x:v>
      </x:c>
      <x:c r="Q20" s="2" t="n">
        <x:f>SUM(Q18:Q19)</x:f>
        <x:v>861.0183936000001</x:v>
      </x:c>
      <x:c r="R20" s="2" t="n">
        <x:f>SUM(R18:R19)</x:f>
        <x:v>755.7143075999999</x:v>
      </x:c>
      <x:c r="S20" s="2" t="n">
        <x:f>SUM(S18:S19)</x:f>
        <x:v>708.0909690214799</x:v>
      </x:c>
      <x:c r="T20" s="2" t="n">
        <x:f>SUM(T18:T19)</x:f>
        <x:v>774.7136974641598</x:v>
      </x:c>
      <x:c r="U20" s="2" t="n">
        <x:f>SUM(U18:U19)</x:f>
        <x:v>887.8550251089599</x:v>
      </x:c>
      <x:c r="V20" s="2" t="n">
        <x:f>SUM(V18:V19)</x:f>
        <x:v>779.0690383592398</x:v>
      </x:c>
      <x:c r="W20" s="2" t="n">
        <x:f>SUM(W18:W19)</x:f>
        <x:v>730.4457098709852</x:v>
      </x:c>
      <x:c r="X20" s="2" t="n">
        <x:f>SUM(X18:X19)</x:f>
        <x:v>799.1653333452892</x:v>
      </x:c>
      <x:c r="Y20" s="2" t="n">
        <x:f>SUM(Y18:Y19)</x:f>
        <x:v>915.5315587130756</x:v>
      </x:c>
      <x:c r="Z20" s="2" t="n">
        <x:f>SUM(Z18:Z19)</x:f>
        <x:v>803.14786718845</x:v>
      </x:c>
      <x:c r="AA20" s="2" t="n">
        <x:f>SUM(AA18:AA19)</x:f>
        <x:v>753.5098187876979</x:v>
      </x:c>
      <x:c r="AB20" s="2" t="n">
        <x:f>SUM(AB18:AB19)</x:f>
        <x:v>824.3926600923137</x:v>
      </x:c>
      <x:c r="AC20" s="2" t="n">
        <x:f>SUM(AC18:AC19)</x:f>
        <x:v>944.0743985401932</x:v>
      </x:c>
      <x:c r="AD20" s="2" t="n">
        <x:f>SUM(AD18:AD19)</x:f>
        <x:v>827.9733249669401</x:v>
      </x:c>
    </x:row>
    <x:row r="21" ht="20" customHeight="1">
      <x:c r="A21" s="2"/>
      <x:c r="B21" s="2"/>
      <x:c r="C21" s="2" t="str">
        <x:v>Cash cost of sales</x:v>
      </x:c>
      <x:c r="D21" s="2" t="n">
        <x:f>SUM(K21:N21)</x:f>
        <x:v>1769.4406446</x:v>
      </x:c>
      <x:c r="E21" s="2" t="n">
        <x:f>SUM(O21:R21)</x:f>
        <x:v>1808.7860986919998</x:v>
      </x:c>
      <x:c r="F21" s="2" t="n">
        <x:f>SUM(S21:V21)</x:f>
        <x:v>1849.700861104849</x:v>
      </x:c>
      <x:c r="G21" s="2" t="n">
        <x:f>SUM(W21:Z21)</x:f>
        <x:v>1891.4131847147885</x:v>
      </x:c>
      <x:c r="H21" s="2" t="n">
        <x:f>SUM(AA21:AD21)</x:f>
        <x:v>1933.932991217132</x:v>
      </x:c>
      <x:c r="I21" s="2"/>
      <x:c r="J21" s="2"/>
      <x:c r="K21" s="2" t="n">
        <x:f>K18*(1-K12)+K19*(1-K13)</x:f>
        <x:v>398.4435814531382</x:v>
      </x:c>
      <x:c r="L21" s="2" t="n">
        <x:f>L18*(1-L12)+L19*(1-L13)</x:f>
        <x:v>435.9109355523401</x:v>
      </x:c>
      <x:c r="M21" s="2" t="n">
        <x:f>M18*(1-M12)+M19*(1-M13)</x:f>
        <x:v>498.42158095703473</x:v>
      </x:c>
      <x:c r="N21" s="2" t="n">
        <x:f>N18*(1-N12)+N19*(1-N13)</x:f>
        <x:v>436.66454663748686</x:v>
      </x:c>
      <x:c r="O21" s="2" t="n">
        <x:f>O18*(1-O12)+O19*(1-O13)</x:f>
        <x:v>407.5286088013622</x:v>
      </x:c>
      <x:c r="P21" s="2" t="n">
        <x:f>P18*(1-P12)+P19*(1-P13)</x:f>
        <x:v>445.8429496766772</x:v>
      </x:c>
      <x:c r="Q21" s="2" t="n">
        <x:f>Q18*(1-Q12)+Q19*(1-Q13)</x:f>
        <x:v>509.38300188378827</x:v>
      </x:c>
      <x:c r="R21" s="2" t="n">
        <x:f>R18*(1-R12)+R19*(1-R13)</x:f>
        <x:v>446.03153833017205</x:v>
      </x:c>
      <x:c r="S21" s="2" t="n">
        <x:f>S18*(1-S12)+S19*(1-S13)</x:f>
        <x:v>416.8704497529959</x:v>
      </x:c>
      <x:c r="T21" s="2" t="n">
        <x:f>T18*(1-T12)+T19*(1-T13)</x:f>
        <x:v>456.0590642869779</x:v>
      </x:c>
      <x:c r="U21" s="2" t="n">
        <x:f>U18*(1-U12)+U19*(1-U13)</x:f>
        <x:v>520.8385822074853</x:v>
      </x:c>
      <x:c r="V21" s="2" t="n">
        <x:f>V18*(1-V12)+V19*(1-V13)</x:f>
        <x:v>455.9327648573898</x:v>
      </x:c>
      <x:c r="W21" s="2" t="n">
        <x:f>W18*(1-W12)+W19*(1-W13)</x:f>
        <x:v>426.3980837221224</x:v>
      </x:c>
      <x:c r="X21" s="2" t="n">
        <x:f>X18*(1-X12)+X19*(1-X13)</x:f>
        <x:v>466.47824144642925</x:v>
      </x:c>
      <x:c r="Y21" s="2" t="n">
        <x:f>Y18*(1-Y12)+Y19*(1-Y13)</x:f>
        <x:v>532.5154773840782</x:v>
      </x:c>
      <x:c r="Z21" s="2" t="n">
        <x:f>Z18*(1-Z12)+Z19*(1-Z13)</x:f>
        <x:v>466.0213821621587</x:v>
      </x:c>
      <x:c r="AA21" s="2" t="n">
        <x:f>AA18*(1-AA12)+AA19*(1-AA13)</x:f>
        <x:v>436.11394868537843</x:v>
      </x:c>
      <x:c r="AB21" s="2" t="n">
        <x:f>AB18*(1-AB12)+AB19*(1-AB13)</x:f>
        <x:v>477.10314176295105</x:v>
      </x:c>
      <x:c r="AC21" s="2" t="n">
        <x:f>AC18*(1-AC12)+AC19*(1-AC13)</x:f>
        <x:v>544.4163722029973</x:v>
      </x:c>
      <x:c r="AD21" s="2" t="n">
        <x:f>AD18*(1-AD12)+AD19*(1-AD13)</x:f>
        <x:v>476.29952856580525</x:v>
      </x:c>
    </x:row>
    <x:row r="22" ht="20" customHeight="1">
      <x:c r="A22" s="2"/>
      <x:c r="B22" s="2"/>
      <x:c r="C22" s="2" t="str">
        <x:v>Cash gross profit</x:v>
      </x:c>
      <x:c r="D22" s="2" t="n">
        <x:f>SUM(K22:N22)</x:f>
        <x:v>1218.5198154</x:v>
      </x:c>
      <x:c r="E22" s="2" t="n">
        <x:f>SUM(O22:R22)</x:f>
        <x:v>1245.384050508</x:v>
      </x:c>
      <x:c r="F22" s="2" t="n">
        <x:f>SUM(S22:V22)</x:f>
        <x:v>1300.0278688489905</x:v>
      </x:c>
      <x:c r="G22" s="2" t="n">
        <x:f>SUM(W22:Z22)</x:f>
        <x:v>1356.8772844030113</x:v>
      </x:c>
      <x:c r="H22" s="2" t="n">
        <x:f>SUM(AA22:AD22)</x:f>
        <x:v>1416.017211170013</x:v>
      </x:c>
      <x:c r="I22" s="2"/>
      <x:c r="J22" s="2"/>
      <x:c r="K22" s="2" t="n">
        <x:f>K20-K21</x:f>
        <x:v>272.73681854686174</x:v>
      </x:c>
      <x:c r="L22" s="2" t="n">
        <x:f>L20-L21</x:f>
        <x:v>298.4370444476599</x:v>
      </x:c>
      <x:c r="M22" s="2" t="n">
        <x:f>M20-M21</x:f>
        <x:v>344.12697904296533</x:v>
      </x:c>
      <x:c r="N22" s="2" t="n">
        <x:f>N20-N21</x:f>
        <x:v>303.218973362513</x:v>
      </x:c>
      <x:c r="O22" s="2" t="n">
        <x:f>O20-O21</x:f>
        <x:v>278.8950587986377</x:v>
      </x:c>
      <x:c r="P22" s="2" t="n">
        <x:f>P20-P21</x:f>
        <x:v>305.17083072332275</x:v>
      </x:c>
      <x:c r="Q22" s="2" t="n">
        <x:f>Q20-Q21</x:f>
        <x:v>351.6353917162118</x:v>
      </x:c>
      <x:c r="R22" s="2" t="n">
        <x:f>R20-R21</x:f>
        <x:v>309.6827692698278</x:v>
      </x:c>
      <x:c r="S22" s="2" t="n">
        <x:f>S20-S21</x:f>
        <x:v>291.22051926848394</x:v>
      </x:c>
      <x:c r="T22" s="2" t="n">
        <x:f>T20-T21</x:f>
        <x:v>318.65463317718195</x:v>
      </x:c>
      <x:c r="U22" s="2" t="n">
        <x:f>U20-U21</x:f>
        <x:v>367.01644290147465</x:v>
      </x:c>
      <x:c r="V22" s="2" t="n">
        <x:f>V20-V21</x:f>
        <x:v>323.13627350185</x:v>
      </x:c>
      <x:c r="W22" s="2" t="n">
        <x:f>W20-W21</x:f>
        <x:v>304.0476261488628</x:v>
      </x:c>
      <x:c r="X22" s="2" t="n">
        <x:f>X20-X21</x:f>
        <x:v>332.68709189886</x:v>
      </x:c>
      <x:c r="Y22" s="2" t="n">
        <x:f>Y20-Y21</x:f>
        <x:v>383.0160813289974</x:v>
      </x:c>
      <x:c r="Z22" s="2" t="n">
        <x:f>Z20-Z21</x:f>
        <x:v>337.12648502629133</x:v>
      </x:c>
      <x:c r="AA22" s="2" t="n">
        <x:f>AA20-AA21</x:f>
        <x:v>317.39587010231946</x:v>
      </x:c>
      <x:c r="AB22" s="2" t="n">
        <x:f>AB20-AB21</x:f>
        <x:v>347.28951832936264</x:v>
      </x:c>
      <x:c r="AC22" s="2" t="n">
        <x:f>AC20-AC21</x:f>
        <x:v>399.6580263371959</x:v>
      </x:c>
      <x:c r="AD22" s="2" t="n">
        <x:f>AD20-AD21</x:f>
        <x:v>351.6737964011349</x:v>
      </x:c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 t="str">
        <x:v>Variable operating expense</x:v>
      </x:c>
      <x:c r="D24" s="2" t="n">
        <x:f>SUM(K24:N24)</x:f>
        <x:v>186.50086794391575</x:v>
      </x:c>
      <x:c r="E24" s="2" t="n">
        <x:f>SUM(O24:R24)</x:f>
        <x:v>190.63350780558807</x:v>
      </x:c>
      <x:c r="F24" s="2" t="n">
        <x:f>SUM(S24:V24)</x:f>
        <x:v>196.59803059250603</x:v>
      </x:c>
      <x:c r="G24" s="2" t="n">
        <x:f>SUM(W24:Z24)</x:f>
        <x:v>202.75000286463595</x:v>
      </x:c>
      <x:c r="H24" s="2" t="n">
        <x:f>SUM(AA24:AD24)</x:f>
        <x:v>209.09534402409685</x:v>
      </x:c>
      <x:c r="I24" s="2"/>
      <x:c r="J24" s="2"/>
      <x:c r="K24" s="9" t="n">
        <x:f>K20*'Historical &amp; Sources'!D100</x:f>
        <x:v>41.89336800894097</x:v>
      </x:c>
      <x:c r="L24" s="9" t="n">
        <x:f>L20*'Historical &amp; Sources'!D100</x:f>
        <x:v>45.83612717648254</x:v>
      </x:c>
      <x:c r="M24" s="9" t="n">
        <x:f>M20*'Historical &amp; Sources'!D100</x:f>
        <x:v>52.589731299488605</x:v>
      </x:c>
      <x:c r="N24" s="9" t="n">
        <x:f>N20*'Historical &amp; Sources'!D100</x:f>
        <x:v>46.181641459003615</x:v>
      </x:c>
      <x:c r="O24" s="9" t="n">
        <x:f>O20*'Historical &amp; Sources'!D100</x:f>
        <x:v>42.84481387837572</x:v>
      </x:c>
      <x:c r="P24" s="9" t="n">
        <x:f>P20*'Historical &amp; Sources'!D100</x:f>
        <x:v>46.876363913611264</x:v>
      </x:c>
      <x:c r="Q24" s="9" t="n">
        <x:f>Q20*'Historical &amp; Sources'!D100</x:f>
        <x:v>53.74257118585702</x:v>
      </x:c>
      <x:c r="R24" s="9" t="n">
        <x:f>R20*'Historical &amp; Sources'!D100</x:f>
        <x:v>47.16975882774409</x:v>
      </x:c>
      <x:c r="S24" s="9" t="n">
        <x:f>S20*'Historical &amp; Sources'!D100</x:f>
        <x:v>44.19723154762039</x:v>
      </x:c>
      <x:c r="T24" s="9" t="n">
        <x:f>T20*'Historical &amp; Sources'!D100</x:f>
        <x:v>48.355652264925205</x:v>
      </x:c>
      <x:c r="U24" s="9" t="n">
        <x:f>U20*'Historical &amp; Sources'!D100</x:f>
        <x:v>55.41764524929092</x:v>
      </x:c>
      <x:c r="V24" s="9" t="n">
        <x:f>V20*'Historical &amp; Sources'!D100</x:f>
        <x:v>48.62750153066952</x:v>
      </x:c>
      <x:c r="W24" s="9" t="n">
        <x:f>W20*'Historical &amp; Sources'!D100</x:f>
        <x:v>45.59255743191742</x:v>
      </x:c>
      <x:c r="X24" s="9" t="n">
        <x:f>X20*'Historical &amp; Sources'!D100</x:f>
        <x:v>49.88186098673648</x:v>
      </x:c>
      <x:c r="Y24" s="9" t="n">
        <x:f>Y20*'Historical &amp; Sources'!D100</x:f>
        <x:v>57.145143858441365</x:v>
      </x:c>
      <x:c r="Z24" s="9" t="n">
        <x:f>Z20*'Historical &amp; Sources'!D100</x:f>
        <x:v>50.13044058754067</x:v>
      </x:c>
      <x:c r="AA24" s="9" t="n">
        <x:f>AA20*'Historical &amp; Sources'!D100</x:f>
        <x:v>47.03216026097223</x:v>
      </x:c>
      <x:c r="AB24" s="9" t="n">
        <x:f>AB20*'Historical &amp; Sources'!D100</x:f>
        <x:v>51.45648635317283</x:v>
      </x:c>
      <x:c r="AC24" s="9" t="n">
        <x:f>AC20*'Historical &amp; Sources'!D100</x:f>
        <x:v>58.926715091596705</x:v>
      </x:c>
      <x:c r="AD24" s="9" t="n">
        <x:f>AD20*'Historical &amp; Sources'!D100</x:f>
        <x:v>51.67998231835509</x:v>
      </x:c>
    </x:row>
    <x:row r="25" ht="20" customHeight="1">
      <x:c r="A25" s="2"/>
      <x:c r="B25" s="2"/>
      <x:c r="C25" s="2" t="str">
        <x:v>Fixed cash SG&amp;A</x:v>
      </x:c>
      <x:c r="D25" s="2" t="n">
        <x:f>SUM(K25:N25)</x:f>
        <x:v>505.41</x:v>
      </x:c>
      <x:c r="E25" s="2" t="n">
        <x:f>SUM(O25:R25)</x:f>
        <x:v>515.5182</x:v>
      </x:c>
      <x:c r="F25" s="2" t="n">
        <x:f>SUM(S25:V25)</x:f>
        <x:v>525.828564</x:v>
      </x:c>
      <x:c r="G25" s="2" t="n">
        <x:f>SUM(W25:Z25)</x:f>
        <x:v>536.34513528</x:v>
      </x:c>
      <x:c r="H25" s="2" t="n">
        <x:f>SUM(AA25:AD25)</x:f>
        <x:v>547.0720379856</x:v>
      </x:c>
      <x:c r="I25" s="2"/>
      <x:c r="J25" s="2"/>
      <x:c r="K25" s="2" t="n">
        <x:f>K14/4</x:f>
        <x:v>126.3525</x:v>
      </x:c>
      <x:c r="L25" s="2" t="n">
        <x:f>L14/4</x:f>
        <x:v>126.3525</x:v>
      </x:c>
      <x:c r="M25" s="2" t="n">
        <x:f>M14/4</x:f>
        <x:v>126.3525</x:v>
      </x:c>
      <x:c r="N25" s="2" t="n">
        <x:f>N14/4</x:f>
        <x:v>126.3525</x:v>
      </x:c>
      <x:c r="O25" s="2" t="n">
        <x:f>O14/4</x:f>
        <x:v>128.87955</x:v>
      </x:c>
      <x:c r="P25" s="2" t="n">
        <x:f>P14/4</x:f>
        <x:v>128.87955</x:v>
      </x:c>
      <x:c r="Q25" s="2" t="n">
        <x:f>Q14/4</x:f>
        <x:v>128.87955</x:v>
      </x:c>
      <x:c r="R25" s="2" t="n">
        <x:f>R14/4</x:f>
        <x:v>128.87955</x:v>
      </x:c>
      <x:c r="S25" s="2" t="n">
        <x:f>S14/4</x:f>
        <x:v>131.457141</x:v>
      </x:c>
      <x:c r="T25" s="2" t="n">
        <x:f>T14/4</x:f>
        <x:v>131.457141</x:v>
      </x:c>
      <x:c r="U25" s="2" t="n">
        <x:f>U14/4</x:f>
        <x:v>131.457141</x:v>
      </x:c>
      <x:c r="V25" s="2" t="n">
        <x:f>V14/4</x:f>
        <x:v>131.457141</x:v>
      </x:c>
      <x:c r="W25" s="2" t="n">
        <x:f>W14/4</x:f>
        <x:v>134.08628382</x:v>
      </x:c>
      <x:c r="X25" s="2" t="n">
        <x:f>X14/4</x:f>
        <x:v>134.08628382</x:v>
      </x:c>
      <x:c r="Y25" s="2" t="n">
        <x:f>Y14/4</x:f>
        <x:v>134.08628382</x:v>
      </x:c>
      <x:c r="Z25" s="2" t="n">
        <x:f>Z14/4</x:f>
        <x:v>134.08628382</x:v>
      </x:c>
      <x:c r="AA25" s="2" t="n">
        <x:f>AA14/4</x:f>
        <x:v>136.7680094964</x:v>
      </x:c>
      <x:c r="AB25" s="2" t="n">
        <x:f>AB14/4</x:f>
        <x:v>136.7680094964</x:v>
      </x:c>
      <x:c r="AC25" s="2" t="n">
        <x:f>AC14/4</x:f>
        <x:v>136.7680094964</x:v>
      </x:c>
      <x:c r="AD25" s="2" t="n">
        <x:f>AD14/4</x:f>
        <x:v>136.7680094964</x:v>
      </x:c>
    </x:row>
    <x:row r="26" ht="20" customHeight="1">
      <x:c r="A26" s="2"/>
      <x:c r="B26" s="2"/>
      <x:c r="C26" s="2" t="str">
        <x:v>Recurring cash-cost reserve</x:v>
      </x:c>
      <x:c r="D26" s="2" t="n">
        <x:f>SUM(K26:N26)</x:f>
        <x:v>20</x:v>
      </x:c>
      <x:c r="E26" s="2" t="n">
        <x:f>SUM(O26:R26)</x:f>
        <x:v>20</x:v>
      </x:c>
      <x:c r="F26" s="2" t="n">
        <x:f>SUM(S26:V26)</x:f>
        <x:v>20</x:v>
      </x:c>
      <x:c r="G26" s="2" t="n">
        <x:f>SUM(W26:Z26)</x:f>
        <x:v>20</x:v>
      </x:c>
      <x:c r="H26" s="2" t="n">
        <x:f>SUM(AA26:AD26)</x:f>
        <x:v>20</x:v>
      </x:c>
      <x:c r="I26" s="2"/>
      <x:c r="J26" s="2"/>
      <x:c r="K26" s="9" t="n">
        <x:f>'Assumptions'!D106/4</x:f>
        <x:v>5</x:v>
      </x:c>
      <x:c r="L26" s="9" t="n">
        <x:f>'Assumptions'!D106/4</x:f>
        <x:v>5</x:v>
      </x:c>
      <x:c r="M26" s="9" t="n">
        <x:f>'Assumptions'!D106/4</x:f>
        <x:v>5</x:v>
      </x:c>
      <x:c r="N26" s="9" t="n">
        <x:f>'Assumptions'!D106/4</x:f>
        <x:v>5</x:v>
      </x:c>
      <x:c r="O26" s="9" t="n">
        <x:f>'Assumptions'!E106/4</x:f>
        <x:v>5</x:v>
      </x:c>
      <x:c r="P26" s="9" t="n">
        <x:f>'Assumptions'!E106/4</x:f>
        <x:v>5</x:v>
      </x:c>
      <x:c r="Q26" s="9" t="n">
        <x:f>'Assumptions'!E106/4</x:f>
        <x:v>5</x:v>
      </x:c>
      <x:c r="R26" s="9" t="n">
        <x:f>'Assumptions'!E106/4</x:f>
        <x:v>5</x:v>
      </x:c>
      <x:c r="S26" s="9" t="n">
        <x:f>'Assumptions'!F106/4</x:f>
        <x:v>5</x:v>
      </x:c>
      <x:c r="T26" s="9" t="n">
        <x:f>'Assumptions'!F106/4</x:f>
        <x:v>5</x:v>
      </x:c>
      <x:c r="U26" s="9" t="n">
        <x:f>'Assumptions'!F106/4</x:f>
        <x:v>5</x:v>
      </x:c>
      <x:c r="V26" s="9" t="n">
        <x:f>'Assumptions'!F106/4</x:f>
        <x:v>5</x:v>
      </x:c>
      <x:c r="W26" s="9" t="n">
        <x:f>'Assumptions'!G106/4</x:f>
        <x:v>5</x:v>
      </x:c>
      <x:c r="X26" s="9" t="n">
        <x:f>'Assumptions'!G106/4</x:f>
        <x:v>5</x:v>
      </x:c>
      <x:c r="Y26" s="9" t="n">
        <x:f>'Assumptions'!G106/4</x:f>
        <x:v>5</x:v>
      </x:c>
      <x:c r="Z26" s="9" t="n">
        <x:f>'Assumptions'!G106/4</x:f>
        <x:v>5</x:v>
      </x:c>
      <x:c r="AA26" s="9" t="n">
        <x:f>'Assumptions'!H106/4</x:f>
        <x:v>5</x:v>
      </x:c>
      <x:c r="AB26" s="9" t="n">
        <x:f>'Assumptions'!H106/4</x:f>
        <x:v>5</x:v>
      </x:c>
      <x:c r="AC26" s="9" t="n">
        <x:f>'Assumptions'!H106/4</x:f>
        <x:v>5</x:v>
      </x:c>
      <x:c r="AD26" s="9" t="n">
        <x:f>'Assumptions'!H106/4</x:f>
        <x:v>5</x:v>
      </x:c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20" customHeight="1">
      <x:c r="A28" s="2"/>
      <x:c r="B28" s="2"/>
      <x:c r="C28" s="2" t="str">
        <x:v>EBITDA after recurring costs</x:v>
      </x:c>
      <x:c r="D28" s="2" t="n">
        <x:f>SUM(K28:N28)</x:f>
        <x:v>506.60894745608414</x:v>
      </x:c>
      <x:c r="E28" s="2" t="n">
        <x:f>SUM(O28:R28)</x:f>
        <x:v>519.2323427024121</x:v>
      </x:c>
      <x:c r="F28" s="2" t="n">
        <x:f>SUM(S28:V28)</x:f>
        <x:v>557.6012742564844</x:v>
      </x:c>
      <x:c r="G28" s="2" t="n">
        <x:f>SUM(W28:Z28)</x:f>
        <x:v>597.7821462583755</x:v>
      </x:c>
      <x:c r="H28" s="2" t="n">
        <x:f>SUM(AA28:AD28)</x:f>
        <x:v>639.8498291603161</x:v>
      </x:c>
      <x:c r="I28" s="2"/>
      <x:c r="J28" s="2"/>
      <x:c r="K28" s="2" t="n">
        <x:f>K22-SUM(K24:K26)</x:f>
        <x:v>99.49095053792075</x:v>
      </x:c>
      <x:c r="L28" s="2" t="n">
        <x:f>L22-SUM(L24:L26)</x:f>
        <x:v>121.24841727117735</x:v>
      </x:c>
      <x:c r="M28" s="2" t="n">
        <x:f>M22-SUM(M24:M26)</x:f>
        <x:v>160.18474774347672</x:v>
      </x:c>
      <x:c r="N28" s="2" t="n">
        <x:f>N22-SUM(N24:N26)</x:f>
        <x:v>125.68483190350938</x:v>
      </x:c>
      <x:c r="O28" s="2" t="n">
        <x:f>O22-SUM(O24:O26)</x:f>
        <x:v>102.17069492026201</x:v>
      </x:c>
      <x:c r="P28" s="2" t="n">
        <x:f>P22-SUM(P24:P26)</x:f>
        <x:v>124.41491680971149</x:v>
      </x:c>
      <x:c r="Q28" s="2" t="n">
        <x:f>Q22-SUM(Q24:Q26)</x:f>
        <x:v>164.01327053035482</x:v>
      </x:c>
      <x:c r="R28" s="2" t="n">
        <x:f>R22-SUM(R24:R26)</x:f>
        <x:v>128.63346044208373</x:v>
      </x:c>
      <x:c r="S28" s="2" t="n">
        <x:f>S22-SUM(S24:S26)</x:f>
        <x:v>110.56614672086354</x:v>
      </x:c>
      <x:c r="T28" s="2" t="n">
        <x:f>T22-SUM(T24:T26)</x:f>
        <x:v>133.84183991225675</x:v>
      </x:c>
      <x:c r="U28" s="2" t="n">
        <x:f>U22-SUM(U24:U26)</x:f>
        <x:v>175.1416566521837</x:v>
      </x:c>
      <x:c r="V28" s="2" t="n">
        <x:f>V22-SUM(V24:V26)</x:f>
        <x:v>138.05163097118046</x:v>
      </x:c>
      <x:c r="W28" s="2" t="n">
        <x:f>W22-SUM(W24:W26)</x:f>
        <x:v>119.36878489694536</x:v>
      </x:c>
      <x:c r="X28" s="2" t="n">
        <x:f>X22-SUM(X24:X26)</x:f>
        <x:v>143.7189470921235</x:v>
      </x:c>
      <x:c r="Y28" s="2" t="n">
        <x:f>Y22-SUM(Y24:Y26)</x:f>
        <x:v>186.78465365055604</x:v>
      </x:c>
      <x:c r="Z28" s="2" t="n">
        <x:f>Z22-SUM(Z24:Z26)</x:f>
        <x:v>147.90976061875065</x:v>
      </x:c>
      <x:c r="AA28" s="2" t="n">
        <x:f>AA22-SUM(AA24:AA26)</x:f>
        <x:v>128.59570034494723</x:v>
      </x:c>
      <x:c r="AB28" s="2" t="n">
        <x:f>AB22-SUM(AB24:AB26)</x:f>
        <x:v>154.0650224797898</x:v>
      </x:c>
      <x:c r="AC28" s="2" t="n">
        <x:f>AC22-SUM(AC24:AC26)</x:f>
        <x:v>198.96330174919922</x:v>
      </x:c>
      <x:c r="AD28" s="2" t="n">
        <x:f>AD22-SUM(AD24:AD26)</x:f>
        <x:v>158.2258045863798</x:v>
      </x:c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 ht="20" customHeight="1">
      <x:c r="A30" s="2"/>
      <x:c r="B30" s="2"/>
      <x:c r="C30" s="2" t="str">
        <x:v>Depreciation and amortization</x:v>
      </x:c>
      <x:c r="D30" s="2" t="n">
        <x:f>SUM(K30:N30)</x:f>
        <x:v>168.26123761913658</x:v>
      </x:c>
      <x:c r="E30" s="2" t="n">
        <x:f>SUM(O30:R30)</x:f>
        <x:v>180.01405586638288</x:v>
      </x:c>
      <x:c r="F30" s="2" t="n">
        <x:f>SUM(S30:V30)</x:f>
        <x:v>190.08049425904665</x:v>
      </x:c>
      <x:c r="G30" s="2" t="n">
        <x:f>SUM(W30:Z30)</x:f>
        <x:v>198.7983470816831</x:v>
      </x:c>
      <x:c r="H30" s="2" t="n">
        <x:f>SUM(AA30:AD30)</x:f>
        <x:v>206.361504266096</x:v>
      </x:c>
      <x:c r="I30" s="2"/>
      <x:c r="J30" s="2"/>
      <x:c r="K30" s="9" t="n">
        <x:f>'Capex &amp; DA'!K29</x:f>
        <x:v>40.906052083333336</x:v>
      </x:c>
      <x:c r="L30" s="9" t="n">
        <x:f>'Capex &amp; DA'!L29</x:f>
        <x:v>41.64015564583333</x:v>
      </x:c>
      <x:c r="M30" s="9" t="n">
        <x:f>'Capex &amp; DA'!M29</x:f>
        <x:v>42.42040801263021</x:v>
      </x:c>
      <x:c r="N30" s="9" t="n">
        <x:f>'Capex &amp; DA'!N29</x:f>
        <x:v>43.29462187733968</x:v>
      </x:c>
      <x:c r="O30" s="9" t="n">
        <x:f>'Capex &amp; DA'!O29</x:f>
        <x:v>44.02922667127698</x:v>
      </x:c>
      <x:c r="P30" s="9" t="n">
        <x:f>'Capex &amp; DA'!P29</x:f>
        <x:v>44.63950187261624</x:v>
      </x:c>
      <x:c r="Q30" s="9" t="n">
        <x:f>'Capex &amp; DA'!Q29</x:f>
        <x:v>45.297314527738656</x:v>
      </x:c>
      <x:c r="R30" s="9" t="n">
        <x:f>'Capex &amp; DA'!R29</x:f>
        <x:v>46.04801279475099</x:v>
      </x:c>
      <x:c r="S30" s="9" t="n">
        <x:f>'Capex &amp; DA'!S29</x:f>
        <x:v>46.666656902231686</x:v>
      </x:c>
      <x:c r="T30" s="9" t="n">
        <x:f>'Capex &amp; DA'!T29</x:f>
        <x:v>47.19472897066259</x:v>
      </x:c>
      <x:c r="U30" s="9" t="n">
        <x:f>'Capex &amp; DA'!U29</x:f>
        <x:v>47.77292151539771</x:v>
      </x:c>
      <x:c r="V30" s="9" t="n">
        <x:f>'Capex &amp; DA'!V29</x:f>
        <x:v>48.44618687075466</x:v>
      </x:c>
      <x:c r="W30" s="9" t="n">
        <x:f>'Capex &amp; DA'!W29</x:f>
        <x:v>48.98962669700698</x:v>
      </x:c>
      <x:c r="X30" s="9" t="n">
        <x:f>'Capex &amp; DA'!X29</x:f>
        <x:v>49.42180784333373</x:v>
      </x:c>
      <x:c r="Y30" s="9" t="n">
        <x:f>'Capex &amp; DA'!Y29</x:f>
        <x:v>49.90490797584493</x:v>
      </x:c>
      <x:c r="Z30" s="9" t="n">
        <x:f>'Capex &amp; DA'!Z29</x:f>
        <x:v>50.48200456549745</x:v>
      </x:c>
      <x:c r="AA30" s="9" t="n">
        <x:f>'Capex &amp; DA'!AA29</x:f>
        <x:v>50.93570717591899</x:v>
      </x:c>
      <x:c r="AB30" s="9" t="n">
        <x:f>'Capex &amp; DA'!AB29</x:f>
        <x:v>51.32869590938916</x:v>
      </x:c>
      <x:c r="AC30" s="9" t="n">
        <x:f>'Capex &amp; DA'!AC29</x:f>
        <x:v>51.77585640866146</x:v>
      </x:c>
      <x:c r="AD30" s="9" t="n">
        <x:f>'Capex &amp; DA'!AD29</x:f>
        <x:v>52.321244772126384</x:v>
      </x:c>
    </x:row>
    <x:row r="31" ht="20" customHeight="1">
      <x:c r="A31" s="2"/>
      <x:c r="B31" s="2"/>
      <x:c r="C31" s="2" t="str">
        <x:v>EBIT</x:v>
      </x:c>
      <x:c r="D31" s="2" t="n">
        <x:f>SUM(K31:N31)</x:f>
        <x:v>338.3477098369476</x:v>
      </x:c>
      <x:c r="E31" s="2" t="n">
        <x:f>SUM(O31:R31)</x:f>
        <x:v>339.21828683602916</x:v>
      </x:c>
      <x:c r="F31" s="2" t="n">
        <x:f>SUM(S31:V31)</x:f>
        <x:v>367.52077999743784</x:v>
      </x:c>
      <x:c r="G31" s="2" t="n">
        <x:f>SUM(W31:Z31)</x:f>
        <x:v>398.9837991766924</x:v>
      </x:c>
      <x:c r="H31" s="2" t="n">
        <x:f>SUM(AA31:AD31)</x:f>
        <x:v>433.48832489422</x:v>
      </x:c>
      <x:c r="I31" s="2"/>
      <x:c r="J31" s="2"/>
      <x:c r="K31" s="2" t="n">
        <x:f>K28-K30</x:f>
        <x:v>58.58489845458742</x:v>
      </x:c>
      <x:c r="L31" s="2" t="n">
        <x:f>L28-L30</x:f>
        <x:v>79.60826162534401</x:v>
      </x:c>
      <x:c r="M31" s="2" t="n">
        <x:f>M28-M30</x:f>
        <x:v>117.7643397308465</x:v>
      </x:c>
      <x:c r="N31" s="2" t="n">
        <x:f>N28-N30</x:f>
        <x:v>82.3902100261697</x:v>
      </x:c>
      <x:c r="O31" s="2" t="n">
        <x:f>O28-O30</x:f>
        <x:v>58.14146824898503</x:v>
      </x:c>
      <x:c r="P31" s="2" t="n">
        <x:f>P28-P30</x:f>
        <x:v>79.77541493709523</x:v>
      </x:c>
      <x:c r="Q31" s="2" t="n">
        <x:f>Q28-Q30</x:f>
        <x:v>118.71595600261617</x:v>
      </x:c>
      <x:c r="R31" s="2" t="n">
        <x:f>R28-R30</x:f>
        <x:v>82.58544764733274</x:v>
      </x:c>
      <x:c r="S31" s="2" t="n">
        <x:f>S28-S30</x:f>
        <x:v>63.89948981863186</x:v>
      </x:c>
      <x:c r="T31" s="2" t="n">
        <x:f>T28-T30</x:f>
        <x:v>86.64711094159415</x:v>
      </x:c>
      <x:c r="U31" s="2" t="n">
        <x:f>U28-U30</x:f>
        <x:v>127.368735136786</x:v>
      </x:c>
      <x:c r="V31" s="2" t="n">
        <x:f>V28-V30</x:f>
        <x:v>89.6054441004258</x:v>
      </x:c>
      <x:c r="W31" s="2" t="n">
        <x:f>W28-W30</x:f>
        <x:v>70.37915819993837</x:v>
      </x:c>
      <x:c r="X31" s="2" t="n">
        <x:f>X28-X30</x:f>
        <x:v>94.29713924878976</x:v>
      </x:c>
      <x:c r="Y31" s="2" t="n">
        <x:f>Y28-Y30</x:f>
        <x:v>136.8797456747111</x:v>
      </x:c>
      <x:c r="Z31" s="2" t="n">
        <x:f>Z28-Z30</x:f>
        <x:v>97.4277560532532</x:v>
      </x:c>
      <x:c r="AA31" s="2" t="n">
        <x:f>AA28-AA30</x:f>
        <x:v>77.65999316902824</x:v>
      </x:c>
      <x:c r="AB31" s="2" t="n">
        <x:f>AB28-AB30</x:f>
        <x:v>102.73632657040065</x:v>
      </x:c>
      <x:c r="AC31" s="2" t="n">
        <x:f>AC28-AC30</x:f>
        <x:v>147.18744534053775</x:v>
      </x:c>
      <x:c r="AD31" s="2" t="n">
        <x:f>AD28-AD30</x:f>
        <x:v>105.90455981425342</x:v>
      </x:c>
    </x:row>
    <x:row r="32" ht="20" customHeight="1">
      <x:c r="A32" s="2"/>
      <x:c r="B32" s="2"/>
      <x:c r="C32" s="2" t="str">
        <x:v>Cash interest and commitment fees</x:v>
      </x:c>
      <x:c r="D32" s="2" t="n">
        <x:f>SUM(K32:N32)</x:f>
        <x:v>215.47799317017245</x:v>
      </x:c>
      <x:c r="E32" s="2" t="n">
        <x:f>SUM(O32:R32)</x:f>
        <x:v>200.84106154367163</x:v>
      </x:c>
      <x:c r="F32" s="2" t="n">
        <x:f>SUM(S32:V32)</x:f>
        <x:v>183.64182221755038</x:v>
      </x:c>
      <x:c r="G32" s="2" t="n">
        <x:f>SUM(W32:Z32)</x:f>
        <x:v>166.31627849469217</x:v>
      </x:c>
      <x:c r="H32" s="2" t="n">
        <x:f>SUM(AA32:AD32)</x:f>
        <x:v>146.00445604740707</x:v>
      </x:c>
      <x:c r="I32" s="2"/>
      <x:c r="J32" s="2"/>
      <x:c r="K32" s="9" t="n">
        <x:f>'Debt Schedule'!K22</x:f>
        <x:v>53.33946250000001</x:v>
      </x:c>
      <x:c r="L32" s="9" t="n">
        <x:f>'Debt Schedule'!L22</x:f>
        <x:v>53.621148164603106</x:v>
      </x:c>
      <x:c r="M32" s="9" t="n">
        <x:f>'Debt Schedule'!M22</x:f>
        <x:v>54.261249636917555</x:v>
      </x:c>
      <x:c r="N32" s="9" t="n">
        <x:f>'Debt Schedule'!N22</x:f>
        <x:v>54.25613286865178</x:v>
      </x:c>
      <x:c r="O32" s="9" t="n">
        <x:f>'Debt Schedule'!O22</x:f>
        <x:v>50.21454660457247</x:v>
      </x:c>
      <x:c r="P32" s="9" t="n">
        <x:f>'Debt Schedule'!P22</x:f>
        <x:v>49.94223056878396</x:v>
      </x:c>
      <x:c r="Q32" s="9" t="n">
        <x:f>'Debt Schedule'!Q22</x:f>
        <x:v>50.414494708456125</x:v>
      </x:c>
      <x:c r="R32" s="9" t="n">
        <x:f>'Debt Schedule'!R22</x:f>
        <x:v>50.269789661859065</x:v>
      </x:c>
      <x:c r="S32" s="9" t="n">
        <x:f>'Debt Schedule'!S22</x:f>
        <x:v>46.75925592758057</x:v>
      </x:c>
      <x:c r="T32" s="9" t="n">
        <x:f>'Debt Schedule'!T22</x:f>
        <x:v>45.57945856485803</x:v>
      </x:c>
      <x:c r="U32" s="9" t="n">
        <x:f>'Debt Schedule'!U22</x:f>
        <x:v>45.856179665245485</x:v>
      </x:c>
      <x:c r="V32" s="9" t="n">
        <x:f>'Debt Schedule'!V22</x:f>
        <x:v>45.4469280598663</x:v>
      </x:c>
      <x:c r="W32" s="9" t="n">
        <x:f>'Debt Schedule'!W22</x:f>
        <x:v>42.33800235831927</x:v>
      </x:c>
      <x:c r="X32" s="9" t="n">
        <x:f>'Debt Schedule'!X22</x:f>
        <x:v>41.61062583531142</x:v>
      </x:c>
      <x:c r="Y32" s="9" t="n">
        <x:f>'Debt Schedule'!Y22</x:f>
        <x:v>41.52051679869481</x:v>
      </x:c>
      <x:c r="Z32" s="9" t="n">
        <x:f>'Debt Schedule'!Z22</x:f>
        <x:v>40.84713350236667</x:v>
      </x:c>
      <x:c r="AA32" s="9" t="n">
        <x:f>'Debt Schedule'!AA22</x:f>
        <x:v>37.53685597893187</x:v>
      </x:c>
      <x:c r="AB32" s="9" t="n">
        <x:f>'Debt Schedule'!AB22</x:f>
        <x:v>36.71470819732653</x:v>
      </x:c>
      <x:c r="AC32" s="9" t="n">
        <x:f>'Debt Schedule'!AC22</x:f>
        <x:v>36.339214665798174</x:v>
      </x:c>
      <x:c r="AD32" s="9" t="n">
        <x:f>'Debt Schedule'!AD22</x:f>
        <x:v>35.41367720535048</x:v>
      </x:c>
    </x:row>
    <x:row r="33" ht="20" customHeight="1">
      <x:c r="A33" s="2"/>
      <x:c r="B33" s="2"/>
      <x:c r="C33" s="2" t="str">
        <x:v>Financing-fee expense</x:v>
      </x:c>
      <x:c r="D33" s="2" t="n">
        <x:f>SUM(K33:N33)</x:f>
        <x:v>10.521541387477756</x:v>
      </x:c>
      <x:c r="E33" s="2" t="n">
        <x:f>SUM(O33:R33)</x:f>
        <x:v>10.915155852720172</x:v>
      </x:c>
      <x:c r="F33" s="2" t="n">
        <x:f>SUM(S33:V33)</x:f>
        <x:v>10.918448574020633</x:v>
      </x:c>
      <x:c r="G33" s="2" t="n">
        <x:f>SUM(W33:Z33)</x:f>
        <x:v>10.264834878951977</x:v>
      </x:c>
      <x:c r="H33" s="2" t="n">
        <x:f>SUM(AA33:AD33)</x:f>
        <x:v>7.665019306829479</x:v>
      </x:c>
      <x:c r="I33" s="2"/>
      <x:c r="J33" s="2"/>
      <x:c r="K33" s="9" t="n">
        <x:f>'Debt Schedule'!K47</x:f>
        <x:v>2.4919225042452493</x:v>
      </x:c>
      <x:c r="L33" s="9" t="n">
        <x:f>'Debt Schedule'!L47</x:f>
        <x:v>2.2883808124121003</x:v>
      </x:c>
      <x:c r="M33" s="9" t="n">
        <x:f>'Debt Schedule'!M47</x:f>
        <x:v>2.2844454563686405</x:v>
      </x:c>
      <x:c r="N33" s="9" t="n">
        <x:f>'Debt Schedule'!N47</x:f>
        <x:v>3.456792614451766</x:v>
      </x:c>
      <x:c r="O33" s="9" t="n">
        <x:f>'Debt Schedule'!O47</x:f>
        <x:v>2.8659297709738296</x:v>
      </x:c>
      <x:c r="P33" s="9" t="n">
        <x:f>'Debt Schedule'!P47</x:f>
        <x:v>2.2721731396935057</x:v>
      </x:c>
      <x:c r="Q33" s="9" t="n">
        <x:f>'Debt Schedule'!Q47</x:f>
        <x:v>2.285061367815445</x:v>
      </x:c>
      <x:c r="R33" s="9" t="n">
        <x:f>'Debt Schedule'!R47</x:f>
        <x:v>3.4919915742373924</x:v>
      </x:c>
      <x:c r="S33" s="9" t="n">
        <x:f>'Debt Schedule'!S47</x:f>
        <x:v>2.9509713598744147</x:v>
      </x:c>
      <x:c r="T33" s="9" t="n">
        <x:f>'Debt Schedule'!T47</x:f>
        <x:v>2.3289217210754707</x:v>
      </x:c>
      <x:c r="U33" s="9" t="n">
        <x:f>'Debt Schedule'!U47</x:f>
        <x:v>2.4147279633575125</x:v>
      </x:c>
      <x:c r="V33" s="9" t="n">
        <x:f>'Debt Schedule'!V47</x:f>
        <x:v>3.223827529713234</x:v>
      </x:c>
      <x:c r="W33" s="9" t="n">
        <x:f>'Debt Schedule'!W47</x:f>
        <x:v>2.7024053910534627</x:v>
      </x:c>
      <x:c r="X33" s="9" t="n">
        <x:f>'Debt Schedule'!X47</x:f>
        <x:v>2.3946042454195022</x:v>
      </x:c>
      <x:c r="Y33" s="9" t="n">
        <x:f>'Debt Schedule'!Y47</x:f>
        <x:v>2.3981519601420396</x:v>
      </x:c>
      <x:c r="Z33" s="9" t="n">
        <x:f>'Debt Schedule'!Z47</x:f>
        <x:v>2.769673282336972</x:v>
      </x:c>
      <x:c r="AA33" s="9" t="n">
        <x:f>'Debt Schedule'!AA47</x:f>
        <x:v>2.401252428317233</x:v>
      </x:c>
      <x:c r="AB33" s="9" t="n">
        <x:f>'Debt Schedule'!AB47</x:f>
        <x:v>2.2682187312549362</x:v>
      </x:c>
      <x:c r="AC33" s="9" t="n">
        <x:f>'Debt Schedule'!AC47</x:f>
        <x:v>2.2094897345440545</x:v>
      </x:c>
      <x:c r="AD33" s="9" t="n">
        <x:f>'Debt Schedule'!AD47</x:f>
        <x:v>0.7860584127132553</x:v>
      </x:c>
    </x:row>
    <x:row r="34" ht="20" customHeight="1">
      <x:c r="A34" s="2"/>
      <x:c r="B34" s="2"/>
      <x:c r="C34" s="2" t="str">
        <x:v>Pretax income</x:v>
      </x:c>
      <x:c r="D34" s="2" t="n">
        <x:f>SUM(K34:N34)</x:f>
        <x:v>112.34817527929742</x:v>
      </x:c>
      <x:c r="E34" s="2" t="n">
        <x:f>SUM(O34:R34)</x:f>
        <x:v>127.46206943963739</x:v>
      </x:c>
      <x:c r="F34" s="2" t="n">
        <x:f>SUM(S34:V34)</x:f>
        <x:v>172.96050920586677</x:v>
      </x:c>
      <x:c r="G34" s="2" t="n">
        <x:f>SUM(W34:Z34)</x:f>
        <x:v>222.40268580304829</x:v>
      </x:c>
      <x:c r="H34" s="2" t="n">
        <x:f>SUM(AA34:AD34)</x:f>
        <x:v>279.81884953998355</x:v>
      </x:c>
      <x:c r="I34" s="2"/>
      <x:c r="J34" s="2"/>
      <x:c r="K34" s="2" t="n">
        <x:f>K31-K32-K33</x:f>
        <x:v>2.7535134503421577</x:v>
      </x:c>
      <x:c r="L34" s="2" t="n">
        <x:f>L31-L32-L33</x:f>
        <x:v>23.698732648328807</x:v>
      </x:c>
      <x:c r="M34" s="2" t="n">
        <x:f>M31-M32-M33</x:f>
        <x:v>61.2186446375603</x:v>
      </x:c>
      <x:c r="N34" s="2" t="n">
        <x:f>N31-N32-N33</x:f>
        <x:v>24.67728454306615</x:v>
      </x:c>
      <x:c r="O34" s="2" t="n">
        <x:f>O31-O32-O33</x:f>
        <x:v>5.060991873438729</x:v>
      </x:c>
      <x:c r="P34" s="2" t="n">
        <x:f>P31-P32-P33</x:f>
        <x:v>27.561011228617765</x:v>
      </x:c>
      <x:c r="Q34" s="2" t="n">
        <x:f>Q31-Q32-Q33</x:f>
        <x:v>66.0163999263446</x:v>
      </x:c>
      <x:c r="R34" s="2" t="n">
        <x:f>R31-R32-R33</x:f>
        <x:v>28.823666411236285</x:v>
      </x:c>
      <x:c r="S34" s="2" t="n">
        <x:f>S31-S32-S33</x:f>
        <x:v>14.189262531176873</x:v>
      </x:c>
      <x:c r="T34" s="2" t="n">
        <x:f>T31-T32-T33</x:f>
        <x:v>38.738730655660646</x:v>
      </x:c>
      <x:c r="U34" s="2" t="n">
        <x:f>U31-U32-U33</x:f>
        <x:v>79.097827508183</x:v>
      </x:c>
      <x:c r="V34" s="2" t="n">
        <x:f>V31-V32-V33</x:f>
        <x:v>40.934688510846264</x:v>
      </x:c>
      <x:c r="W34" s="2" t="n">
        <x:f>W31-W32-W33</x:f>
        <x:v>25.338750450565637</x:v>
      </x:c>
      <x:c r="X34" s="2" t="n">
        <x:f>X31-X32-X33</x:f>
        <x:v>50.291909168058844</x:v>
      </x:c>
      <x:c r="Y34" s="2" t="n">
        <x:f>Y31-Y32-Y33</x:f>
        <x:v>92.96107691587424</x:v>
      </x:c>
      <x:c r="Z34" s="2" t="n">
        <x:f>Z31-Z32-Z33</x:f>
        <x:v>53.810949268549564</x:v>
      </x:c>
      <x:c r="AA34" s="2" t="n">
        <x:f>AA31-AA32-AA33</x:f>
        <x:v>37.72188476177914</x:v>
      </x:c>
      <x:c r="AB34" s="2" t="n">
        <x:f>AB31-AB32-AB33</x:f>
        <x:v>63.753399641819186</x:v>
      </x:c>
      <x:c r="AC34" s="2" t="n">
        <x:f>AC31-AC32-AC33</x:f>
        <x:v>108.63874094019552</x:v>
      </x:c>
      <x:c r="AD34" s="2" t="n">
        <x:f>AD31-AD32-AD33</x:f>
        <x:v>69.70482419618968</x:v>
      </x:c>
    </x:row>
    <x:row r="35" ht="20" customHeight="1">
      <x:c r="A35" s="2"/>
      <x:c r="B35" s="2"/>
      <x:c r="C35" s="2" t="str">
        <x:v>Book tax expense</x:v>
      </x:c>
      <x:c r="D35" s="2" t="n">
        <x:f>SUM(K35:N35)</x:f>
        <x:v>46.5912564000306</x:v>
      </x:c>
      <x:c r="E35" s="2" t="n">
        <x:f>SUM(O35:R35)</x:f>
        <x:v>45.86214600632639</x:v>
      </x:c>
      <x:c r="F35" s="2" t="n">
        <x:f>SUM(S35:V35)</x:f>
        <x:v>50.0600994301231</x:v>
      </x:c>
      <x:c r="G35" s="2" t="n">
        <x:f>SUM(W35:Z35)</x:f>
        <x:v>54.91228882479494</x:v>
      </x:c>
      <x:c r="H35" s="2" t="n">
        <x:f>SUM(AA35:AD35)</x:f>
        <x:v>60.383344036531305</x:v>
      </x:c>
      <x:c r="I35" s="2"/>
      <x:c r="J35" s="2"/>
      <x:c r="K35" s="9" t="n">
        <x:f>'Taxes'!K23</x:f>
        <x:v>7.184403323302799</x:v>
      </x:c>
      <x:c r="L35" s="9" t="n">
        <x:f>'Taxes'!L23</x:f>
        <x:v>10.808434110997704</x:v>
      </x:c>
      <x:c r="M35" s="9" t="n">
        <x:f>'Taxes'!M23</x:f>
        <x:v>17.427228851950872</x:v>
      </x:c>
      <x:c r="N35" s="9" t="n">
        <x:f>'Taxes'!N23</x:f>
        <x:v>11.171190113779222</x:v>
      </x:c>
      <x:c r="O35" s="9" t="n">
        <x:f>'Taxes'!O23</x:f>
        <x:v>6.872564943226605</x:v>
      </x:c>
      <x:c r="P35" s="9" t="n">
        <x:f>'Taxes'!P23</x:f>
        <x:v>10.612734973545448</x:v>
      </x:c>
      <x:c r="Q35" s="9" t="n">
        <x:f>'Taxes'!Q23</x:f>
        <x:v>17.377993710877426</x:v>
      </x:c>
      <x:c r="R35" s="9" t="n">
        <x:f>'Taxes'!R23</x:f>
        <x:v>10.998852378676906</x:v>
      </x:c>
      <x:c r="S35" s="9" t="n">
        <x:f>'Taxes'!S23</x:f>
        <x:v>7.682411450593197</x:v>
      </x:c>
      <x:c r="T35" s="9" t="n">
        <x:f>'Taxes'!T23</x:f>
        <x:v>11.623639741979282</x:v>
      </x:c>
      <x:c r="U35" s="9" t="n">
        <x:f>'Taxes'!U23</x:f>
        <x:v>18.706559535282715</x:v>
      </x:c>
      <x:c r="V35" s="9" t="n">
        <x:f>'Taxes'!V23</x:f>
        <x:v>12.047488702267916</x:v>
      </x:c>
      <x:c r="W35" s="9" t="n">
        <x:f>'Taxes'!W23</x:f>
        <x:v>8.642130682713692</x:v>
      </x:c>
      <x:c r="X35" s="9" t="n">
        <x:f>'Taxes'!X23</x:f>
        <x:v>12.795363780288179</x:v>
      </x:c>
      <x:c r="Y35" s="9" t="n">
        <x:f>'Taxes'!Y23</x:f>
        <x:v>20.21108739488607</x:v>
      </x:c>
      <x:c r="Z35" s="9" t="n">
        <x:f>'Taxes'!Z23</x:f>
        <x:v>13.263706966907002</x:v>
      </x:c>
      <x:c r="AA35" s="9" t="n">
        <x:f>'Taxes'!AA23</x:f>
        <x:v>9.770320766386018</x:v>
      </x:c>
      <x:c r="AB35" s="9" t="n">
        <x:f>'Taxes'!AB23</x:f>
        <x:v>14.129204956615922</x:v>
      </x:c>
      <x:c r="AC35" s="9" t="n">
        <x:f>'Taxes'!AC23</x:f>
        <x:v>21.874613703944497</x:v>
      </x:c>
      <x:c r="AD35" s="9" t="n">
        <x:f>'Taxes'!AD23</x:f>
        <x:v>14.609204609584872</x:v>
      </x:c>
    </x:row>
    <x:row r="36" ht="20" customHeight="1">
      <x:c r="A36" s="2"/>
      <x:c r="B36" s="2"/>
      <x:c r="C36" s="2" t="str">
        <x:v>Net income</x:v>
      </x:c>
      <x:c r="D36" s="2" t="n">
        <x:f>SUM(K36:N36)</x:f>
        <x:v>65.75691887926682</x:v>
      </x:c>
      <x:c r="E36" s="2" t="n">
        <x:f>SUM(O36:R36)</x:f>
        <x:v>81.599923433311</x:v>
      </x:c>
      <x:c r="F36" s="2" t="n">
        <x:f>SUM(S36:V36)</x:f>
        <x:v>122.90040977574367</x:v>
      </x:c>
      <x:c r="G36" s="2" t="n">
        <x:f>SUM(W36:Z36)</x:f>
        <x:v>167.49039697825336</x:v>
      </x:c>
      <x:c r="H36" s="2" t="n">
        <x:f>SUM(AA36:AD36)</x:f>
        <x:v>219.43550550345222</x:v>
      </x:c>
      <x:c r="I36" s="2"/>
      <x:c r="J36" s="2"/>
      <x:c r="K36" s="2" t="n">
        <x:f>K34-K35</x:f>
        <x:v>-4.430889872960641</x:v>
      </x:c>
      <x:c r="L36" s="2" t="n">
        <x:f>L34-L35</x:f>
        <x:v>12.890298537331104</x:v>
      </x:c>
      <x:c r="M36" s="2" t="n">
        <x:f>M34-M35</x:f>
        <x:v>43.79141578560943</x:v>
      </x:c>
      <x:c r="N36" s="2" t="n">
        <x:f>N34-N35</x:f>
        <x:v>13.506094429286929</x:v>
      </x:c>
      <x:c r="O36" s="2" t="n">
        <x:f>O34-O35</x:f>
        <x:v>-1.811573069787876</x:v>
      </x:c>
      <x:c r="P36" s="2" t="n">
        <x:f>P34-P35</x:f>
        <x:v>16.948276255072315</x:v>
      </x:c>
      <x:c r="Q36" s="2" t="n">
        <x:f>Q34-Q35</x:f>
        <x:v>48.63840621546718</x:v>
      </x:c>
      <x:c r="R36" s="2" t="n">
        <x:f>R34-R35</x:f>
        <x:v>17.82481403255938</x:v>
      </x:c>
      <x:c r="S36" s="2" t="n">
        <x:f>S34-S35</x:f>
        <x:v>6.506851080583676</x:v>
      </x:c>
      <x:c r="T36" s="2" t="n">
        <x:f>T34-T35</x:f>
        <x:v>27.115090913681364</x:v>
      </x:c>
      <x:c r="U36" s="2" t="n">
        <x:f>U34-U35</x:f>
        <x:v>60.39126797290029</x:v>
      </x:c>
      <x:c r="V36" s="2" t="n">
        <x:f>V34-V35</x:f>
        <x:v>28.887199808578348</x:v>
      </x:c>
      <x:c r="W36" s="2" t="n">
        <x:f>W34-W35</x:f>
        <x:v>16.696619767851946</x:v>
      </x:c>
      <x:c r="X36" s="2" t="n">
        <x:f>X34-X35</x:f>
        <x:v>37.49654538777067</x:v>
      </x:c>
      <x:c r="Y36" s="2" t="n">
        <x:f>Y34-Y35</x:f>
        <x:v>72.74998952098818</x:v>
      </x:c>
      <x:c r="Z36" s="2" t="n">
        <x:f>Z34-Z35</x:f>
        <x:v>40.54724230164256</x:v>
      </x:c>
      <x:c r="AA36" s="2" t="n">
        <x:f>AA34-AA35</x:f>
        <x:v>27.95156399539312</x:v>
      </x:c>
      <x:c r="AB36" s="2" t="n">
        <x:f>AB34-AB35</x:f>
        <x:v>49.624194685203264</x:v>
      </x:c>
      <x:c r="AC36" s="2" t="n">
        <x:f>AC34-AC35</x:f>
        <x:v>86.76412723625103</x:v>
      </x:c>
      <x:c r="AD36" s="2" t="n">
        <x:f>AD34-AD35</x:f>
        <x:v>55.095619586604805</x:v>
      </x:c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 ht="32" customHeight="1">
      <x:c r="A39" s="2"/>
      <x:c r="B39" s="2"/>
      <x:c r="C39" s="13" t="str">
        <x:v>Revenue uses disclosed FY2025 quarterly sales weights mapped to calendar quarters. No invented unit volumes.</x:v>
      </x:c>
      <x:c r="D39" s="13"/>
      <x:c r="E39" s="13"/>
      <x:c r="F39" s="13"/>
      <x:c r="G39" s="13"/>
      <x:c r="H39" s="13"/>
      <x:c r="I39" s="13"/>
      <x:c r="J39" s="13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 ht="32" customHeight="1">
      <x:c r="A41" s="2"/>
      <x:c r="B41" s="2"/>
      <x:c r="C41" s="13" t="str">
        <x:v>Cash margin excludes production credits. All segment depreciation is assumed within cost of sales.</x:v>
      </x:c>
      <x:c r="D41" s="13"/>
      <x:c r="E41" s="13"/>
      <x:c r="F41" s="13"/>
      <x:c r="G41" s="13"/>
      <x:c r="H41" s="13"/>
      <x:c r="I41" s="13"/>
      <x:c r="J41" s="13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</x:sheetData>
  <x:mergeCells>
    <x:mergeCell ref="C39:J39"/>
    <x:mergeCell ref="C41:J4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Working Capital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 s="8" t="n">
        <x:v>2026</x:v>
      </x:c>
      <x:c r="E8" s="8" t="n">
        <x:v>2027</x:v>
      </x:c>
      <x:c r="F8" s="8" t="n">
        <x:v>2028</x:v>
      </x:c>
      <x:c r="G8" s="8" t="n">
        <x:v>2029</x:v>
      </x:c>
      <x:c r="H8" s="8" t="n">
        <x:v>2030</x:v>
      </x:c>
      <x:c r="I8" s="2"/>
      <x:c r="J8" s="2"/>
      <x:c r="K8" s="11" t="n">
        <x:v>46112</x:v>
      </x:c>
      <x:c r="L8" s="11" t="n">
        <x:v>46203</x:v>
      </x:c>
      <x:c r="M8" s="11" t="n">
        <x:v>46295</x:v>
      </x:c>
      <x:c r="N8" s="11" t="n">
        <x:v>46387</x:v>
      </x:c>
      <x:c r="O8" s="11" t="n">
        <x:v>46477</x:v>
      </x:c>
      <x:c r="P8" s="11" t="n">
        <x:v>46568</x:v>
      </x:c>
      <x:c r="Q8" s="11" t="n">
        <x:v>46660</x:v>
      </x:c>
      <x:c r="R8" s="11" t="n">
        <x:v>46752</x:v>
      </x:c>
      <x:c r="S8" s="11" t="n">
        <x:v>46843</x:v>
      </x:c>
      <x:c r="T8" s="11" t="n">
        <x:v>46934</x:v>
      </x:c>
      <x:c r="U8" s="11" t="n">
        <x:v>47026</x:v>
      </x:c>
      <x:c r="V8" s="11" t="n">
        <x:v>47118</x:v>
      </x:c>
      <x:c r="W8" s="11" t="n">
        <x:v>47208</x:v>
      </x:c>
      <x:c r="X8" s="11" t="n">
        <x:v>47299</x:v>
      </x:c>
      <x:c r="Y8" s="11" t="n">
        <x:v>47391</x:v>
      </x:c>
      <x:c r="Z8" s="11" t="n">
        <x:v>47483</x:v>
      </x:c>
      <x:c r="AA8" s="11" t="n">
        <x:v>47573</x:v>
      </x:c>
      <x:c r="AB8" s="11" t="n">
        <x:v>47664</x:v>
      </x:c>
      <x:c r="AC8" s="11" t="n">
        <x:v>47756</x:v>
      </x:c>
      <x:c r="AD8" s="11" t="n">
        <x:v>47848</x:v>
      </x:c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Trade receivables</x:v>
      </x:c>
      <x:c r="D10" s="2" t="n">
        <x:f>N10</x:f>
        <x:v>418.19503304347813</x:v>
      </x:c>
      <x:c r="E10" s="2" t="n">
        <x:f>R10</x:f>
        <x:v>427.1428695130434</x:v>
      </x:c>
      <x:c r="F10" s="2" t="n">
        <x:f>V10</x:f>
        <x:v>431.87522778610037</x:v>
      </x:c>
      <x:c r="G10" s="2" t="n">
        <x:f>Z10</x:f>
        <x:v>445.223274202293</x:v>
      </x:c>
      <x:c r="H10" s="2" t="n">
        <x:f>AD10</x:f>
        <x:v>458.9852127534125</x:v>
      </x:c>
      <x:c r="I10" s="2"/>
      <x:c r="J10" s="2"/>
      <x:c r="K10" s="9" t="n">
        <x:f>'Operating Case'!K20/90*('Assumptions'!D86+'Sensitivities'!$D$9)</x:f>
        <x:v>387.79312</x:v>
      </x:c>
      <x:c r="L10" s="9" t="n">
        <x:f>'Operating Case'!L20/91*('Assumptions'!D86+'Sensitivities'!$D$9)</x:f>
        <x:v>419.6274171428571</x:v>
      </x:c>
      <x:c r="M10" s="9" t="n">
        <x:f>'Operating Case'!M20/92*('Assumptions'!D86+'Sensitivities'!$D$9)</x:f>
        <x:v>476.2230991304348</x:v>
      </x:c>
      <x:c r="N10" s="9" t="n">
        <x:f>'Operating Case'!N20/92*('Assumptions'!D86+'Sensitivities'!$D$9)</x:f>
        <x:v>418.19503304347813</x:v>
      </x:c>
      <x:c r="O10" s="9" t="n">
        <x:f>'Operating Case'!O20/90*('Assumptions'!E86+'Sensitivities'!$D$9)</x:f>
        <x:v>396.60034127999995</x:v>
      </x:c>
      <x:c r="P10" s="9" t="n">
        <x:f>'Operating Case'!P20/91*('Assumptions'!E86+'Sensitivities'!$D$9)</x:f>
        <x:v>429.15073165714284</x:v>
      </x:c>
      <x:c r="Q10" s="9" t="n">
        <x:f>'Operating Case'!Q20/92*('Assumptions'!E86+'Sensitivities'!$D$9)</x:f>
        <x:v>486.6625702956522</x:v>
      </x:c>
      <x:c r="R10" s="9" t="n">
        <x:f>'Operating Case'!R20/92*('Assumptions'!E86+'Sensitivities'!$D$9)</x:f>
        <x:v>427.1428695130434</x:v>
      </x:c>
      <x:c r="S10" s="9" t="n">
        <x:f>'Operating Case'!S20/91*('Assumptions'!F86+'Sensitivities'!$D$9)</x:f>
        <x:v>396.8421914296206</x:v>
      </x:c>
      <x:c r="T10" s="9" t="n">
        <x:f>'Operating Case'!T20/91*('Assumptions'!F86+'Sensitivities'!$D$9)</x:f>
        <x:v>434.1802040733204</x:v>
      </x:c>
      <x:c r="U10" s="9" t="n">
        <x:f>'Operating Case'!U20/92*('Assumptions'!F86+'Sensitivities'!$D$9)</x:f>
        <x:v>492.18050304953215</x:v>
      </x:c>
      <x:c r="V10" s="9" t="n">
        <x:f>'Operating Case'!V20/92*('Assumptions'!F86+'Sensitivities'!$D$9)</x:f>
        <x:v>431.87522778610037</x:v>
      </x:c>
      <x:c r="W10" s="9" t="n">
        <x:f>'Operating Case'!W20/90*('Assumptions'!G86+'Sensitivities'!$D$9)</x:f>
        <x:v>413.91923559355826</x:v>
      </x:c>
      <x:c r="X10" s="9" t="n">
        <x:f>'Operating Case'!X20/91*('Assumptions'!G86+'Sensitivities'!$D$9)</x:f>
        <x:v>447.8838681385687</x:v>
      </x:c>
      <x:c r="Y10" s="9" t="n">
        <x:f>'Operating Case'!Y20/92*('Assumptions'!G86+'Sensitivities'!$D$9)</x:f>
        <x:v>507.52292928659625</x:v>
      </x:c>
      <x:c r="Z10" s="9" t="n">
        <x:f>'Operating Case'!Z20/92*('Assumptions'!G86+'Sensitivities'!$D$9)</x:f>
        <x:v>445.223274202293</x:v>
      </x:c>
      <x:c r="AA10" s="9" t="n">
        <x:f>'Operating Case'!AA20/90*('Assumptions'!H86+'Sensitivities'!$D$9)</x:f>
        <x:v>426.9888973130288</x:v>
      </x:c>
      <x:c r="AB10" s="9" t="n">
        <x:f>'Operating Case'!AB20/91*('Assumptions'!H86+'Sensitivities'!$D$9)</x:f>
        <x:v>462.0222600517363</x:v>
      </x:c>
      <x:c r="AC10" s="9" t="n">
        <x:f>'Operating Case'!AC20/92*('Assumptions'!H86+'Sensitivities'!$D$9)</x:f>
        <x:v>523.3455904951071</x:v>
      </x:c>
      <x:c r="AD10" s="9" t="n">
        <x:f>'Operating Case'!AD20/92*('Assumptions'!H86+'Sensitivities'!$D$9)</x:f>
        <x:v>458.9852127534125</x:v>
      </x:c>
    </x:row>
    <x:row r="11" ht="20" customHeight="1">
      <x:c r="A11" s="2"/>
      <x:c r="B11" s="2"/>
      <x:c r="C11" s="2" t="str">
        <x:v>Inventory</x:v>
      </x:c>
      <x:c r="D11" s="2" t="n">
        <x:f>N11</x:f>
        <x:v>804.731909598904</x:v>
      </x:c>
      <x:c r="E11" s="2" t="n">
        <x:f>R11</x:f>
        <x:v>812.7148498232547</x:v>
      </x:c>
      <x:c r="F11" s="2" t="n">
        <x:f>V11</x:f>
        <x:v>820.9631219150286</x:v>
      </x:c>
      <x:c r="G11" s="2" t="n">
        <x:f>Z11</x:f>
        <x:v>829.1126289160717</x:v>
      </x:c>
      <x:c r="H11" s="2" t="n">
        <x:f>AD11</x:f>
        <x:v>847.7514482047702</x:v>
      </x:c>
      <x:c r="I11" s="2"/>
      <x:c r="J11" s="2"/>
      <x:c r="K11" s="9" t="n">
        <x:f>'Operating Case'!K15/365*'Assumptions'!D91</x:f>
        <x:v>804.731909598904</x:v>
      </x:c>
      <x:c r="L11" s="9" t="n">
        <x:f>'Operating Case'!L15/365*'Assumptions'!D91</x:f>
        <x:v>804.731909598904</x:v>
      </x:c>
      <x:c r="M11" s="9" t="n">
        <x:f>'Operating Case'!M15/365*'Assumptions'!D91</x:f>
        <x:v>804.731909598904</x:v>
      </x:c>
      <x:c r="N11" s="9" t="n">
        <x:f>'Operating Case'!N15/365*'Assumptions'!D91</x:f>
        <x:v>804.731909598904</x:v>
      </x:c>
      <x:c r="O11" s="9" t="n">
        <x:f>'Operating Case'!O15/365*'Assumptions'!E91</x:f>
        <x:v>812.7148498232547</x:v>
      </x:c>
      <x:c r="P11" s="9" t="n">
        <x:f>'Operating Case'!P15/365*'Assumptions'!E91</x:f>
        <x:v>812.7148498232547</x:v>
      </x:c>
      <x:c r="Q11" s="9" t="n">
        <x:f>'Operating Case'!Q15/365*'Assumptions'!E91</x:f>
        <x:v>812.7148498232547</x:v>
      </x:c>
      <x:c r="R11" s="9" t="n">
        <x:f>'Operating Case'!R15/365*'Assumptions'!E91</x:f>
        <x:v>812.7148498232547</x:v>
      </x:c>
      <x:c r="S11" s="9" t="n">
        <x:f>'Operating Case'!S15/365*'Assumptions'!F91</x:f>
        <x:v>820.9631219150286</x:v>
      </x:c>
      <x:c r="T11" s="9" t="n">
        <x:f>'Operating Case'!T15/365*'Assumptions'!F91</x:f>
        <x:v>820.9631219150286</x:v>
      </x:c>
      <x:c r="U11" s="9" t="n">
        <x:f>'Operating Case'!U15/365*'Assumptions'!F91</x:f>
        <x:v>820.9631219150286</x:v>
      </x:c>
      <x:c r="V11" s="9" t="n">
        <x:f>'Operating Case'!V15/365*'Assumptions'!F91</x:f>
        <x:v>820.9631219150286</x:v>
      </x:c>
      <x:c r="W11" s="9" t="n">
        <x:f>'Operating Case'!W15/365*'Assumptions'!G91</x:f>
        <x:v>829.1126289160717</x:v>
      </x:c>
      <x:c r="X11" s="9" t="n">
        <x:f>'Operating Case'!X15/365*'Assumptions'!G91</x:f>
        <x:v>829.1126289160717</x:v>
      </x:c>
      <x:c r="Y11" s="9" t="n">
        <x:f>'Operating Case'!Y15/365*'Assumptions'!G91</x:f>
        <x:v>829.1126289160717</x:v>
      </x:c>
      <x:c r="Z11" s="9" t="n">
        <x:f>'Operating Case'!Z15/365*'Assumptions'!G91</x:f>
        <x:v>829.1126289160717</x:v>
      </x:c>
      <x:c r="AA11" s="9" t="n">
        <x:f>'Operating Case'!AA15/365*'Assumptions'!H91</x:f>
        <x:v>847.7514482047702</x:v>
      </x:c>
      <x:c r="AB11" s="9" t="n">
        <x:f>'Operating Case'!AB15/365*'Assumptions'!H91</x:f>
        <x:v>847.7514482047702</x:v>
      </x:c>
      <x:c r="AC11" s="9" t="n">
        <x:f>'Operating Case'!AC15/365*'Assumptions'!H91</x:f>
        <x:v>847.7514482047702</x:v>
      </x:c>
      <x:c r="AD11" s="9" t="n">
        <x:f>'Operating Case'!AD15/365*'Assumptions'!H91</x:f>
        <x:v>847.7514482047702</x:v>
      </x:c>
    </x:row>
    <x:row r="12" ht="20" customHeight="1">
      <x:c r="A12" s="2"/>
      <x:c r="B12" s="2"/>
      <x:c r="C12" s="2" t="str">
        <x:v>Trade payables</x:v>
      </x:c>
      <x:c r="D12" s="2" t="n">
        <x:f>N12</x:f>
        <x:v>412.06151997534243</x:v>
      </x:c>
      <x:c r="E12" s="2" t="n">
        <x:f>R12</x:f>
        <x:v>421.22415996936985</x:v>
      </x:c>
      <x:c r="F12" s="2" t="n">
        <x:f>V12</x:f>
        <x:v>430.7522553257866</x:v>
      </x:c>
      <x:c r="G12" s="2" t="n">
        <x:f>Z12</x:f>
        <x:v>440.46608411166306</x:v>
      </x:c>
      <x:c r="H12" s="2" t="n">
        <x:f>AD12</x:f>
        <x:v>450.36795685878417</x:v>
      </x:c>
      <x:c r="I12" s="2"/>
      <x:c r="J12" s="2"/>
      <x:c r="K12" s="9" t="n">
        <x:f>'Operating Case'!K15/365*'Assumptions'!D96</x:f>
        <x:v>412.06151997534243</x:v>
      </x:c>
      <x:c r="L12" s="9" t="n">
        <x:f>'Operating Case'!L15/365*'Assumptions'!D96</x:f>
        <x:v>412.06151997534243</x:v>
      </x:c>
      <x:c r="M12" s="9" t="n">
        <x:f>'Operating Case'!M15/365*'Assumptions'!D96</x:f>
        <x:v>412.06151997534243</x:v>
      </x:c>
      <x:c r="N12" s="9" t="n">
        <x:f>'Operating Case'!N15/365*'Assumptions'!D96</x:f>
        <x:v>412.06151997534243</x:v>
      </x:c>
      <x:c r="O12" s="9" t="n">
        <x:f>'Operating Case'!O15/365*'Assumptions'!E96</x:f>
        <x:v>421.22415996936985</x:v>
      </x:c>
      <x:c r="P12" s="9" t="n">
        <x:f>'Operating Case'!P15/365*'Assumptions'!E96</x:f>
        <x:v>421.22415996936985</x:v>
      </x:c>
      <x:c r="Q12" s="9" t="n">
        <x:f>'Operating Case'!Q15/365*'Assumptions'!E96</x:f>
        <x:v>421.22415996936985</x:v>
      </x:c>
      <x:c r="R12" s="9" t="n">
        <x:f>'Operating Case'!R15/365*'Assumptions'!E96</x:f>
        <x:v>421.22415996936985</x:v>
      </x:c>
      <x:c r="S12" s="9" t="n">
        <x:f>'Operating Case'!S15/365*'Assumptions'!F96</x:f>
        <x:v>430.7522553257866</x:v>
      </x:c>
      <x:c r="T12" s="9" t="n">
        <x:f>'Operating Case'!T15/365*'Assumptions'!F96</x:f>
        <x:v>430.7522553257866</x:v>
      </x:c>
      <x:c r="U12" s="9" t="n">
        <x:f>'Operating Case'!U15/365*'Assumptions'!F96</x:f>
        <x:v>430.7522553257866</x:v>
      </x:c>
      <x:c r="V12" s="9" t="n">
        <x:f>'Operating Case'!V15/365*'Assumptions'!F96</x:f>
        <x:v>430.7522553257866</x:v>
      </x:c>
      <x:c r="W12" s="9" t="n">
        <x:f>'Operating Case'!W15/365*'Assumptions'!G96</x:f>
        <x:v>440.46608411166306</x:v>
      </x:c>
      <x:c r="X12" s="9" t="n">
        <x:f>'Operating Case'!X15/365*'Assumptions'!G96</x:f>
        <x:v>440.46608411166306</x:v>
      </x:c>
      <x:c r="Y12" s="9" t="n">
        <x:f>'Operating Case'!Y15/365*'Assumptions'!G96</x:f>
        <x:v>440.46608411166306</x:v>
      </x:c>
      <x:c r="Z12" s="9" t="n">
        <x:f>'Operating Case'!Z15/365*'Assumptions'!G96</x:f>
        <x:v>440.46608411166306</x:v>
      </x:c>
      <x:c r="AA12" s="9" t="n">
        <x:f>'Operating Case'!AA15/365*'Assumptions'!H96</x:f>
        <x:v>450.36795685878417</x:v>
      </x:c>
      <x:c r="AB12" s="9" t="n">
        <x:f>'Operating Case'!AB15/365*'Assumptions'!H96</x:f>
        <x:v>450.36795685878417</x:v>
      </x:c>
      <x:c r="AC12" s="9" t="n">
        <x:f>'Operating Case'!AC15/365*'Assumptions'!H96</x:f>
        <x:v>450.36795685878417</x:v>
      </x:c>
      <x:c r="AD12" s="9" t="n">
        <x:f>'Operating Case'!AD15/365*'Assumptions'!H96</x:f>
        <x:v>450.36795685878417</x:v>
      </x:c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20" customHeight="1">
      <x:c r="A14" s="2"/>
      <x:c r="B14" s="2"/>
      <x:c r="C14" s="2" t="str">
        <x:v>Operating working capital</x:v>
      </x:c>
      <x:c r="D14" s="2" t="n">
        <x:f>N14</x:f>
        <x:v>810.8654226670396</x:v>
      </x:c>
      <x:c r="E14" s="2" t="n">
        <x:f>R14</x:f>
        <x:v>818.6335593669282</x:v>
      </x:c>
      <x:c r="F14" s="2" t="n">
        <x:f>V14</x:f>
        <x:v>822.0860943753426</x:v>
      </x:c>
      <x:c r="G14" s="2" t="n">
        <x:f>Z14</x:f>
        <x:v>833.8698190067016</x:v>
      </x:c>
      <x:c r="H14" s="2" t="n">
        <x:f>AD14</x:f>
        <x:v>856.3687040993985</x:v>
      </x:c>
      <x:c r="I14" s="2"/>
      <x:c r="J14" s="2"/>
      <x:c r="K14" s="2" t="n">
        <x:f>K10+K11-K12</x:f>
        <x:v>780.4635096235615</x:v>
      </x:c>
      <x:c r="L14" s="2" t="n">
        <x:f>L10+L11-L12</x:f>
        <x:v>812.2978067664187</x:v>
      </x:c>
      <x:c r="M14" s="2" t="n">
        <x:f>M10+M11-M12</x:f>
        <x:v>868.8934887539963</x:v>
      </x:c>
      <x:c r="N14" s="2" t="n">
        <x:f>N10+N11-N12</x:f>
        <x:v>810.8654226670396</x:v>
      </x:c>
      <x:c r="O14" s="2" t="n">
        <x:f>O10+O11-O12</x:f>
        <x:v>788.0910311338848</x:v>
      </x:c>
      <x:c r="P14" s="2" t="n">
        <x:f>P10+P11-P12</x:f>
        <x:v>820.6414215110276</x:v>
      </x:c>
      <x:c r="Q14" s="2" t="n">
        <x:f>Q10+Q11-Q12</x:f>
        <x:v>878.1532601495371</x:v>
      </x:c>
      <x:c r="R14" s="2" t="n">
        <x:f>R10+R11-R12</x:f>
        <x:v>818.6335593669282</x:v>
      </x:c>
      <x:c r="S14" s="2" t="n">
        <x:f>S10+S11-S12</x:f>
        <x:v>787.0530580188627</x:v>
      </x:c>
      <x:c r="T14" s="2" t="n">
        <x:f>T10+T11-T12</x:f>
        <x:v>824.3910706625625</x:v>
      </x:c>
      <x:c r="U14" s="2" t="n">
        <x:f>U10+U11-U12</x:f>
        <x:v>882.3913696387742</x:v>
      </x:c>
      <x:c r="V14" s="2" t="n">
        <x:f>V10+V11-V12</x:f>
        <x:v>822.0860943753426</x:v>
      </x:c>
      <x:c r="W14" s="2" t="n">
        <x:f>W10+W11-W12</x:f>
        <x:v>802.5657803979668</x:v>
      </x:c>
      <x:c r="X14" s="2" t="n">
        <x:f>X10+X11-X12</x:f>
        <x:v>836.5304129429771</x:v>
      </x:c>
      <x:c r="Y14" s="2" t="n">
        <x:f>Y10+Y11-Y12</x:f>
        <x:v>896.1694740910048</x:v>
      </x:c>
      <x:c r="Z14" s="2" t="n">
        <x:f>Z10+Z11-Z12</x:f>
        <x:v>833.8698190067016</x:v>
      </x:c>
      <x:c r="AA14" s="2" t="n">
        <x:f>AA10+AA11-AA12</x:f>
        <x:v>824.372388659015</x:v>
      </x:c>
      <x:c r="AB14" s="2" t="n">
        <x:f>AB10+AB11-AB12</x:f>
        <x:v>859.4057513977224</x:v>
      </x:c>
      <x:c r="AC14" s="2" t="n">
        <x:f>AC10+AC11-AC12</x:f>
        <x:v>920.7290818410933</x:v>
      </x:c>
      <x:c r="AD14" s="2" t="n">
        <x:f>AD10+AD11-AD12</x:f>
        <x:v>856.3687040993985</x:v>
      </x:c>
    </x:row>
    <x:row r="15" ht="20" customHeight="1">
      <x:c r="A15" s="2"/>
      <x:c r="B15" s="2"/>
      <x:c r="C15" s="2" t="str">
        <x:v>Opening working capital</x:v>
      </x:c>
      <x:c r="D15" s="2" t="n">
        <x:f>K15</x:f>
        <x:v>783.2</x:v>
      </x:c>
      <x:c r="E15" s="2" t="n">
        <x:f>O15</x:f>
        <x:v>810.8654226670396</x:v>
      </x:c>
      <x:c r="F15" s="2" t="n">
        <x:f>S15</x:f>
        <x:v>818.6335593669282</x:v>
      </x:c>
      <x:c r="G15" s="2" t="n">
        <x:f>W15</x:f>
        <x:v>822.0860943753426</x:v>
      </x:c>
      <x:c r="H15" s="2" t="n">
        <x:f>AA15</x:f>
        <x:v>833.8698190067016</x:v>
      </x:c>
      <x:c r="I15" s="2"/>
      <x:c r="J15" s="2"/>
      <x:c r="K15" s="9" t="n">
        <x:f>'Historical &amp; Sources'!F25+'Historical &amp; Sources'!F26-'Historical &amp; Sources'!F39</x:f>
        <x:v>783.2</x:v>
      </x:c>
      <x:c r="L15" s="2" t="n">
        <x:f>K14</x:f>
        <x:v>780.4635096235615</x:v>
      </x:c>
      <x:c r="M15" s="2" t="n">
        <x:f>L14</x:f>
        <x:v>812.2978067664187</x:v>
      </x:c>
      <x:c r="N15" s="2" t="n">
        <x:f>M14</x:f>
        <x:v>868.8934887539963</x:v>
      </x:c>
      <x:c r="O15" s="2" t="n">
        <x:f>N14</x:f>
        <x:v>810.8654226670396</x:v>
      </x:c>
      <x:c r="P15" s="2" t="n">
        <x:f>O14</x:f>
        <x:v>788.0910311338848</x:v>
      </x:c>
      <x:c r="Q15" s="2" t="n">
        <x:f>P14</x:f>
        <x:v>820.6414215110276</x:v>
      </x:c>
      <x:c r="R15" s="2" t="n">
        <x:f>Q14</x:f>
        <x:v>878.1532601495371</x:v>
      </x:c>
      <x:c r="S15" s="2" t="n">
        <x:f>R14</x:f>
        <x:v>818.6335593669282</x:v>
      </x:c>
      <x:c r="T15" s="2" t="n">
        <x:f>S14</x:f>
        <x:v>787.0530580188627</x:v>
      </x:c>
      <x:c r="U15" s="2" t="n">
        <x:f>T14</x:f>
        <x:v>824.3910706625625</x:v>
      </x:c>
      <x:c r="V15" s="2" t="n">
        <x:f>U14</x:f>
        <x:v>882.3913696387742</x:v>
      </x:c>
      <x:c r="W15" s="2" t="n">
        <x:f>V14</x:f>
        <x:v>822.0860943753426</x:v>
      </x:c>
      <x:c r="X15" s="2" t="n">
        <x:f>W14</x:f>
        <x:v>802.5657803979668</x:v>
      </x:c>
      <x:c r="Y15" s="2" t="n">
        <x:f>X14</x:f>
        <x:v>836.5304129429771</x:v>
      </x:c>
      <x:c r="Z15" s="2" t="n">
        <x:f>Y14</x:f>
        <x:v>896.1694740910048</x:v>
      </x:c>
      <x:c r="AA15" s="2" t="n">
        <x:f>Z14</x:f>
        <x:v>833.8698190067016</x:v>
      </x:c>
      <x:c r="AB15" s="2" t="n">
        <x:f>AA14</x:f>
        <x:v>824.372388659015</x:v>
      </x:c>
      <x:c r="AC15" s="2" t="n">
        <x:f>AB14</x:f>
        <x:v>859.4057513977224</x:v>
      </x:c>
      <x:c r="AD15" s="2" t="n">
        <x:f>AC14</x:f>
        <x:v>920.7290818410933</x:v>
      </x:c>
    </x:row>
    <x:row r="16" ht="20" customHeight="1">
      <x:c r="A16" s="2"/>
      <x:c r="B16" s="2"/>
      <x:c r="C16" s="2" t="str">
        <x:v>Increase in working capital</x:v>
      </x:c>
      <x:c r="D16" s="2" t="n">
        <x:f>SUM(K16:N16)</x:f>
        <x:v>27.665422667039593</x:v>
      </x:c>
      <x:c r="E16" s="2" t="n">
        <x:f>SUM(O16:R16)</x:f>
        <x:v>7.768136699888601</x:v>
      </x:c>
      <x:c r="F16" s="2" t="n">
        <x:f>SUM(S16:V16)</x:f>
        <x:v>3.4525350084143156</x:v>
      </x:c>
      <x:c r="G16" s="2" t="n">
        <x:f>SUM(W16:Z16)</x:f>
        <x:v>11.783724631359064</x:v>
      </x:c>
      <x:c r="H16" s="2" t="n">
        <x:f>SUM(AA16:AD16)</x:f>
        <x:v>22.498885092696923</x:v>
      </x:c>
      <x:c r="I16" s="2"/>
      <x:c r="J16" s="2"/>
      <x:c r="K16" s="2" t="n">
        <x:f>K14-K15</x:f>
        <x:v>-2.7364903764384962</x:v>
      </x:c>
      <x:c r="L16" s="2" t="n">
        <x:f>L14-L15</x:f>
        <x:v>31.834297142857167</x:v>
      </x:c>
      <x:c r="M16" s="2" t="n">
        <x:f>M14-M15</x:f>
        <x:v>56.595681987577564</x:v>
      </x:c>
      <x:c r="N16" s="2" t="n">
        <x:f>N14-N15</x:f>
        <x:v>-58.02806608695664</x:v>
      </x:c>
      <x:c r="O16" s="2" t="n">
        <x:f>O14-O15</x:f>
        <x:v>-22.774391533154812</x:v>
      </x:c>
      <x:c r="P16" s="2" t="n">
        <x:f>P14-P15</x:f>
        <x:v>32.550390377142776</x:v>
      </x:c>
      <x:c r="Q16" s="2" t="n">
        <x:f>Q14-Q15</x:f>
        <x:v>57.511838638509516</x:v>
      </x:c>
      <x:c r="R16" s="2" t="n">
        <x:f>R14-R15</x:f>
        <x:v>-59.51970078260888</x:v>
      </x:c>
      <x:c r="S16" s="2" t="n">
        <x:f>S14-S15</x:f>
        <x:v>-31.58050134806558</x:v>
      </x:c>
      <x:c r="T16" s="2" t="n">
        <x:f>T14-T15</x:f>
        <x:v>37.33801264369981</x:v>
      </x:c>
      <x:c r="U16" s="2" t="n">
        <x:f>U14-U15</x:f>
        <x:v>58.00029897621175</x:v>
      </x:c>
      <x:c r="V16" s="2" t="n">
        <x:f>V14-V15</x:f>
        <x:v>-60.30527526343167</x:v>
      </x:c>
      <x:c r="W16" s="2" t="n">
        <x:f>W14-W15</x:f>
        <x:v>-19.520313977375736</x:v>
      </x:c>
      <x:c r="X16" s="2" t="n">
        <x:f>X14-X15</x:f>
        <x:v>33.96463254501032</x:v>
      </x:c>
      <x:c r="Y16" s="2" t="n">
        <x:f>Y14-Y15</x:f>
        <x:v>59.63906114802762</x:v>
      </x:c>
      <x:c r="Z16" s="2" t="n">
        <x:f>Z14-Z15</x:f>
        <x:v>-62.29965508430314</x:v>
      </x:c>
      <x:c r="AA16" s="2" t="n">
        <x:f>AA14-AA15</x:f>
        <x:v>-9.497430347686645</x:v>
      </x:c>
      <x:c r="AB16" s="2" t="n">
        <x:f>AB14-AB15</x:f>
        <x:v>35.03336273870741</x:v>
      </x:c>
      <x:c r="AC16" s="2" t="n">
        <x:f>AC14-AC15</x:f>
        <x:v>61.32333044337088</x:v>
      </x:c>
      <x:c r="AD16" s="2" t="n">
        <x:f>AD14-AD15</x:f>
        <x:v>-64.36037774169472</x:v>
      </x:c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32" customHeight="1">
      <x:c r="A19" s="2"/>
      <x:c r="B19" s="2"/>
      <x:c r="C19" s="13" t="str">
        <x:v>Receivables use current-quarter sales / actual quarter days. Inventory and payables use annual cash COGS / 365.</x:v>
      </x:c>
      <x:c r="D19" s="13"/>
      <x:c r="E19" s="13"/>
      <x:c r="F19" s="13"/>
      <x:c r="G19" s="13"/>
      <x:c r="H19" s="13"/>
      <x:c r="I19" s="13"/>
      <x:c r="J19" s="13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32" customHeight="1">
      <x:c r="A21" s="2"/>
      <x:c r="B21" s="2"/>
      <x:c r="C21" s="13" t="str">
        <x:v>Other operating assets and liabilities, including credit receivables, remain flat. No assumed credit monetization.</x:v>
      </x:c>
      <x:c r="D21" s="13"/>
      <x:c r="E21" s="13"/>
      <x:c r="F21" s="13"/>
      <x:c r="G21" s="13"/>
      <x:c r="H21" s="13"/>
      <x:c r="I21" s="13"/>
      <x:c r="J21" s="13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</x:sheetData>
  <x:mergeCells>
    <x:mergeCell ref="C19:J19"/>
    <x:mergeCell ref="C21:J2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Capex &amp; DA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 s="8" t="n">
        <x:v>2026</x:v>
      </x:c>
      <x:c r="E8" s="8" t="n">
        <x:v>2027</x:v>
      </x:c>
      <x:c r="F8" s="8" t="n">
        <x:v>2028</x:v>
      </x:c>
      <x:c r="G8" s="8" t="n">
        <x:v>2029</x:v>
      </x:c>
      <x:c r="H8" s="8" t="n">
        <x:v>2030</x:v>
      </x:c>
      <x:c r="I8" s="2"/>
      <x:c r="J8" s="2"/>
      <x:c r="K8" s="11" t="n">
        <x:v>46112</x:v>
      </x:c>
      <x:c r="L8" s="11" t="n">
        <x:v>46203</x:v>
      </x:c>
      <x:c r="M8" s="11" t="n">
        <x:v>46295</x:v>
      </x:c>
      <x:c r="N8" s="11" t="n">
        <x:v>46387</x:v>
      </x:c>
      <x:c r="O8" s="11" t="n">
        <x:v>46477</x:v>
      </x:c>
      <x:c r="P8" s="11" t="n">
        <x:v>46568</x:v>
      </x:c>
      <x:c r="Q8" s="11" t="n">
        <x:v>46660</x:v>
      </x:c>
      <x:c r="R8" s="11" t="n">
        <x:v>46752</x:v>
      </x:c>
      <x:c r="S8" s="11" t="n">
        <x:v>46843</x:v>
      </x:c>
      <x:c r="T8" s="11" t="n">
        <x:v>46934</x:v>
      </x:c>
      <x:c r="U8" s="11" t="n">
        <x:v>47026</x:v>
      </x:c>
      <x:c r="V8" s="11" t="n">
        <x:v>47118</x:v>
      </x:c>
      <x:c r="W8" s="11" t="n">
        <x:v>47208</x:v>
      </x:c>
      <x:c r="X8" s="11" t="n">
        <x:v>47299</x:v>
      </x:c>
      <x:c r="Y8" s="11" t="n">
        <x:v>47391</x:v>
      </x:c>
      <x:c r="Z8" s="11" t="n">
        <x:v>47483</x:v>
      </x:c>
      <x:c r="AA8" s="11" t="n">
        <x:v>47573</x:v>
      </x:c>
      <x:c r="AB8" s="11" t="n">
        <x:v>47664</x:v>
      </x:c>
      <x:c r="AC8" s="11" t="n">
        <x:v>47756</x:v>
      </x:c>
      <x:c r="AD8" s="11" t="n">
        <x:v>47848</x:v>
      </x:c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Capital expenditures</x:v>
      </x:c>
      <x:c r="D10" s="2" t="n">
        <x:f>SUM(K10:N10)</x:f>
        <x:v>104.5786161</x:v>
      </x:c>
      <x:c r="E10" s="2" t="n">
        <x:f>SUM(O10:R10)</x:f>
        <x:v>100.7876149236</x:v>
      </x:c>
      <x:c r="F10" s="2" t="n">
        <x:f>SUM(S10:V10)</x:f>
        <x:v>100.79131935852286</x:v>
      </x:c>
      <x:c r="G10" s="2" t="n">
        <x:f>SUM(W10:Z10)</x:f>
        <x:v>97.44871407353399</x:v>
      </x:c>
      <x:c r="H10" s="2" t="n">
        <x:f>SUM(AA10:AD10)</x:f>
        <x:v>100.49850607161434</x:v>
      </x:c>
      <x:c r="I10" s="2"/>
      <x:c r="J10" s="2"/>
      <x:c r="K10" s="9" t="n">
        <x:f>'Operating Case'!K20*'Assumptions'!D81</x:f>
        <x:v>23.491314000000003</x:v>
      </x:c>
      <x:c r="L10" s="9" t="n">
        <x:f>'Operating Case'!L20*'Assumptions'!D81</x:f>
        <x:v>25.7021793</x:v>
      </x:c>
      <x:c r="M10" s="9" t="n">
        <x:f>'Operating Case'!M20*'Assumptions'!D81</x:f>
        <x:v>29.489199600000006</x:v>
      </x:c>
      <x:c r="N10" s="9" t="n">
        <x:f>'Operating Case'!N20*'Assumptions'!D81</x:f>
        <x:v>25.8959232</x:v>
      </x:c>
      <x:c r="O10" s="9" t="n">
        <x:f>'Operating Case'!O20*'Assumptions'!E81</x:f>
        <x:v>22.6519810308</x:v>
      </x:c>
      <x:c r="P10" s="9" t="n">
        <x:f>'Operating Case'!P20*'Assumptions'!E81</x:f>
        <x:v>24.7834547532</x:v>
      </x:c>
      <x:c r="Q10" s="9" t="n">
        <x:f>'Operating Case'!Q20*'Assumptions'!E81</x:f>
        <x:v>28.413606988800005</x:v>
      </x:c>
      <x:c r="R10" s="9" t="n">
        <x:f>'Operating Case'!R20*'Assumptions'!E81</x:f>
        <x:v>24.938572150799995</x:v>
      </x:c>
      <x:c r="S10" s="9" t="n">
        <x:f>'Operating Case'!S20*'Assumptions'!F81</x:f>
        <x:v>22.658911008687355</x:v>
      </x:c>
      <x:c r="T10" s="9" t="n">
        <x:f>'Operating Case'!T20*'Assumptions'!F81</x:f>
        <x:v>24.790838318853115</x:v>
      </x:c>
      <x:c r="U10" s="9" t="n">
        <x:f>'Operating Case'!U20*'Assumptions'!F81</x:f>
        <x:v>28.41136080348672</x:v>
      </x:c>
      <x:c r="V10" s="9" t="n">
        <x:f>'Operating Case'!V20*'Assumptions'!F81</x:f>
        <x:v>24.930209227495673</x:v>
      </x:c>
      <x:c r="W10" s="9" t="n">
        <x:f>'Operating Case'!W20*'Assumptions'!G81</x:f>
        <x:v>21.913371296129554</x:v>
      </x:c>
      <x:c r="X10" s="9" t="n">
        <x:f>'Operating Case'!X20*'Assumptions'!G81</x:f>
        <x:v>23.974960000358678</x:v>
      </x:c>
      <x:c r="Y10" s="9" t="n">
        <x:f>'Operating Case'!Y20*'Assumptions'!G81</x:f>
        <x:v>27.465946761392267</x:v>
      </x:c>
      <x:c r="Z10" s="9" t="n">
        <x:f>'Operating Case'!Z20*'Assumptions'!G81</x:f>
        <x:v>24.0944360156535</x:v>
      </x:c>
      <x:c r="AA10" s="9" t="n">
        <x:f>'Operating Case'!AA20*'Assumptions'!H81</x:f>
        <x:v>22.605294563630935</x:v>
      </x:c>
      <x:c r="AB10" s="9" t="n">
        <x:f>'Operating Case'!AB20*'Assumptions'!H81</x:f>
        <x:v>24.73177980276941</x:v>
      </x:c>
      <x:c r="AC10" s="9" t="n">
        <x:f>'Operating Case'!AC20*'Assumptions'!H81</x:f>
        <x:v>28.322231956205794</x:v>
      </x:c>
      <x:c r="AD10" s="9" t="n">
        <x:f>'Operating Case'!AD20*'Assumptions'!H81</x:f>
        <x:v>24.839199749008202</x:v>
      </x:c>
    </x:row>
    <x:row r="11" ht="2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0" customHeight="1">
      <x:c r="A12" s="2"/>
      <x:c r="B12" s="2"/>
      <x:c r="C12" s="2" t="str">
        <x:v>Opening legacy PP&amp;E</x:v>
      </x:c>
      <x:c r="D12" s="2" t="n">
        <x:f>K12</x:f>
        <x:v>408.14525</x:v>
      </x:c>
      <x:c r="E12" s="2" t="n">
        <x:f>O12</x:f>
        <x:v>340.1210416666667</x:v>
      </x:c>
      <x:c r="F12" s="2" t="n">
        <x:f>S12</x:f>
        <x:v>272.09683333333345</x:v>
      </x:c>
      <x:c r="G12" s="2" t="n">
        <x:f>W12</x:f>
        <x:v>204.07262500000007</x:v>
      </x:c>
      <x:c r="H12" s="2" t="n">
        <x:f>AA12</x:f>
        <x:v>136.0484166666667</x:v>
      </x:c>
      <x:c r="I12" s="2"/>
      <x:c r="J12" s="2"/>
      <x:c r="K12" s="9" t="n">
        <x:f>'Closing Bridge'!D28</x:f>
        <x:v>408.14525</x:v>
      </x:c>
      <x:c r="L12" s="2" t="n">
        <x:f>K14</x:f>
        <x:v>391.13919791666666</x:v>
      </x:c>
      <x:c r="M12" s="2" t="n">
        <x:f>L14</x:f>
        <x:v>374.13314583333334</x:v>
      </x:c>
      <x:c r="N12" s="2" t="n">
        <x:f>M14</x:f>
        <x:v>357.12709375000003</x:v>
      </x:c>
      <x:c r="O12" s="2" t="n">
        <x:f>N14</x:f>
        <x:v>340.1210416666667</x:v>
      </x:c>
      <x:c r="P12" s="2" t="n">
        <x:f>O14</x:f>
        <x:v>323.1149895833334</x:v>
      </x:c>
      <x:c r="Q12" s="2" t="n">
        <x:f>P14</x:f>
        <x:v>306.1089375000001</x:v>
      </x:c>
      <x:c r="R12" s="2" t="n">
        <x:f>Q14</x:f>
        <x:v>289.10288541666677</x:v>
      </x:c>
      <x:c r="S12" s="2" t="n">
        <x:f>R14</x:f>
        <x:v>272.09683333333345</x:v>
      </x:c>
      <x:c r="T12" s="2" t="n">
        <x:f>S14</x:f>
        <x:v>255.0907812500001</x:v>
      </x:c>
      <x:c r="U12" s="2" t="n">
        <x:f>T14</x:f>
        <x:v>238.08472916666676</x:v>
      </x:c>
      <x:c r="V12" s="2" t="n">
        <x:f>U14</x:f>
        <x:v>221.07867708333342</x:v>
      </x:c>
      <x:c r="W12" s="2" t="n">
        <x:f>V14</x:f>
        <x:v>204.07262500000007</x:v>
      </x:c>
      <x:c r="X12" s="2" t="n">
        <x:f>W14</x:f>
        <x:v>187.06657291666673</x:v>
      </x:c>
      <x:c r="Y12" s="2" t="n">
        <x:f>X14</x:f>
        <x:v>170.06052083333338</x:v>
      </x:c>
      <x:c r="Z12" s="2" t="n">
        <x:f>Y14</x:f>
        <x:v>153.05446875000004</x:v>
      </x:c>
      <x:c r="AA12" s="2" t="n">
        <x:f>Z14</x:f>
        <x:v>136.0484166666667</x:v>
      </x:c>
      <x:c r="AB12" s="2" t="n">
        <x:f>AA14</x:f>
        <x:v>119.04236458333337</x:v>
      </x:c>
      <x:c r="AC12" s="2" t="n">
        <x:f>AB14</x:f>
        <x:v>102.03631250000004</x:v>
      </x:c>
      <x:c r="AD12" s="2" t="n">
        <x:f>AC14</x:f>
        <x:v>85.0302604166667</x:v>
      </x:c>
    </x:row>
    <x:row r="13" ht="20" customHeight="1">
      <x:c r="A13" s="2"/>
      <x:c r="B13" s="2"/>
      <x:c r="C13" s="2" t="str">
        <x:v>Legacy depreciation</x:v>
      </x:c>
      <x:c r="D13" s="2" t="n">
        <x:f>SUM(K13:N13)</x:f>
        <x:v>68.02420833333333</x:v>
      </x:c>
      <x:c r="E13" s="2" t="n">
        <x:f>SUM(O13:R13)</x:f>
        <x:v>68.02420833333333</x:v>
      </x:c>
      <x:c r="F13" s="2" t="n">
        <x:f>SUM(S13:V13)</x:f>
        <x:v>68.02420833333333</x:v>
      </x:c>
      <x:c r="G13" s="2" t="n">
        <x:f>SUM(W13:Z13)</x:f>
        <x:v>68.02420833333333</x:v>
      </x:c>
      <x:c r="H13" s="2" t="n">
        <x:f>SUM(AA13:AD13)</x:f>
        <x:v>68.02420833333333</x:v>
      </x:c>
      <x:c r="I13" s="2"/>
      <x:c r="J13" s="2"/>
      <x:c r="K13" s="9" t="n">
        <x:f>MIN(K12,'Closing Bridge'!D28/'Assumptions'!D38/4)</x:f>
        <x:v>17.006052083333334</x:v>
      </x:c>
      <x:c r="L13" s="9" t="n">
        <x:f>MIN(L12,'Closing Bridge'!D28/'Assumptions'!D38/4)</x:f>
        <x:v>17.006052083333334</x:v>
      </x:c>
      <x:c r="M13" s="9" t="n">
        <x:f>MIN(M12,'Closing Bridge'!D28/'Assumptions'!D38/4)</x:f>
        <x:v>17.006052083333334</x:v>
      </x:c>
      <x:c r="N13" s="9" t="n">
        <x:f>MIN(N12,'Closing Bridge'!D28/'Assumptions'!D38/4)</x:f>
        <x:v>17.006052083333334</x:v>
      </x:c>
      <x:c r="O13" s="9" t="n">
        <x:f>MIN(O12,'Closing Bridge'!D28/'Assumptions'!D38/4)</x:f>
        <x:v>17.006052083333334</x:v>
      </x:c>
      <x:c r="P13" s="9" t="n">
        <x:f>MIN(P12,'Closing Bridge'!D28/'Assumptions'!D38/4)</x:f>
        <x:v>17.006052083333334</x:v>
      </x:c>
      <x:c r="Q13" s="9" t="n">
        <x:f>MIN(Q12,'Closing Bridge'!D28/'Assumptions'!D38/4)</x:f>
        <x:v>17.006052083333334</x:v>
      </x:c>
      <x:c r="R13" s="9" t="n">
        <x:f>MIN(R12,'Closing Bridge'!D28/'Assumptions'!D38/4)</x:f>
        <x:v>17.006052083333334</x:v>
      </x:c>
      <x:c r="S13" s="9" t="n">
        <x:f>MIN(S12,'Closing Bridge'!D28/'Assumptions'!D38/4)</x:f>
        <x:v>17.006052083333334</x:v>
      </x:c>
      <x:c r="T13" s="9" t="n">
        <x:f>MIN(T12,'Closing Bridge'!D28/'Assumptions'!D38/4)</x:f>
        <x:v>17.006052083333334</x:v>
      </x:c>
      <x:c r="U13" s="9" t="n">
        <x:f>MIN(U12,'Closing Bridge'!D28/'Assumptions'!D38/4)</x:f>
        <x:v>17.006052083333334</x:v>
      </x:c>
      <x:c r="V13" s="9" t="n">
        <x:f>MIN(V12,'Closing Bridge'!D28/'Assumptions'!D38/4)</x:f>
        <x:v>17.006052083333334</x:v>
      </x:c>
      <x:c r="W13" s="9" t="n">
        <x:f>MIN(W12,'Closing Bridge'!D28/'Assumptions'!D38/4)</x:f>
        <x:v>17.006052083333334</x:v>
      </x:c>
      <x:c r="X13" s="9" t="n">
        <x:f>MIN(X12,'Closing Bridge'!D28/'Assumptions'!D38/4)</x:f>
        <x:v>17.006052083333334</x:v>
      </x:c>
      <x:c r="Y13" s="9" t="n">
        <x:f>MIN(Y12,'Closing Bridge'!D28/'Assumptions'!D38/4)</x:f>
        <x:v>17.006052083333334</x:v>
      </x:c>
      <x:c r="Z13" s="9" t="n">
        <x:f>MIN(Z12,'Closing Bridge'!D28/'Assumptions'!D38/4)</x:f>
        <x:v>17.006052083333334</x:v>
      </x:c>
      <x:c r="AA13" s="9" t="n">
        <x:f>MIN(AA12,'Closing Bridge'!D28/'Assumptions'!D38/4)</x:f>
        <x:v>17.006052083333334</x:v>
      </x:c>
      <x:c r="AB13" s="9" t="n">
        <x:f>MIN(AB12,'Closing Bridge'!D28/'Assumptions'!D38/4)</x:f>
        <x:v>17.006052083333334</x:v>
      </x:c>
      <x:c r="AC13" s="9" t="n">
        <x:f>MIN(AC12,'Closing Bridge'!D28/'Assumptions'!D38/4)</x:f>
        <x:v>17.006052083333334</x:v>
      </x:c>
      <x:c r="AD13" s="9" t="n">
        <x:f>MIN(AD12,'Closing Bridge'!D28/'Assumptions'!D38/4)</x:f>
        <x:v>17.006052083333334</x:v>
      </x:c>
    </x:row>
    <x:row r="14" ht="20" customHeight="1">
      <x:c r="A14" s="2"/>
      <x:c r="B14" s="2"/>
      <x:c r="C14" s="2" t="str">
        <x:v>Ending legacy PP&amp;E</x:v>
      </x:c>
      <x:c r="D14" s="2" t="n">
        <x:f>N14</x:f>
        <x:v>340.1210416666667</x:v>
      </x:c>
      <x:c r="E14" s="2" t="n">
        <x:f>R14</x:f>
        <x:v>272.09683333333345</x:v>
      </x:c>
      <x:c r="F14" s="2" t="n">
        <x:f>V14</x:f>
        <x:v>204.07262500000007</x:v>
      </x:c>
      <x:c r="G14" s="2" t="n">
        <x:f>Z14</x:f>
        <x:v>136.0484166666667</x:v>
      </x:c>
      <x:c r="H14" s="2" t="n">
        <x:f>AD14</x:f>
        <x:v>68.02420833333338</x:v>
      </x:c>
      <x:c r="I14" s="2"/>
      <x:c r="J14" s="2"/>
      <x:c r="K14" s="2" t="n">
        <x:f>K12-K13</x:f>
        <x:v>391.13919791666666</x:v>
      </x:c>
      <x:c r="L14" s="2" t="n">
        <x:f>L12-L13</x:f>
        <x:v>374.13314583333334</x:v>
      </x:c>
      <x:c r="M14" s="2" t="n">
        <x:f>M12-M13</x:f>
        <x:v>357.12709375000003</x:v>
      </x:c>
      <x:c r="N14" s="2" t="n">
        <x:f>N12-N13</x:f>
        <x:v>340.1210416666667</x:v>
      </x:c>
      <x:c r="O14" s="2" t="n">
        <x:f>O12-O13</x:f>
        <x:v>323.1149895833334</x:v>
      </x:c>
      <x:c r="P14" s="2" t="n">
        <x:f>P12-P13</x:f>
        <x:v>306.1089375000001</x:v>
      </x:c>
      <x:c r="Q14" s="2" t="n">
        <x:f>Q12-Q13</x:f>
        <x:v>289.10288541666677</x:v>
      </x:c>
      <x:c r="R14" s="2" t="n">
        <x:f>R12-R13</x:f>
        <x:v>272.09683333333345</x:v>
      </x:c>
      <x:c r="S14" s="2" t="n">
        <x:f>S12-S13</x:f>
        <x:v>255.0907812500001</x:v>
      </x:c>
      <x:c r="T14" s="2" t="n">
        <x:f>T12-T13</x:f>
        <x:v>238.08472916666676</x:v>
      </x:c>
      <x:c r="U14" s="2" t="n">
        <x:f>U12-U13</x:f>
        <x:v>221.07867708333342</x:v>
      </x:c>
      <x:c r="V14" s="2" t="n">
        <x:f>V12-V13</x:f>
        <x:v>204.07262500000007</x:v>
      </x:c>
      <x:c r="W14" s="2" t="n">
        <x:f>W12-W13</x:f>
        <x:v>187.06657291666673</x:v>
      </x:c>
      <x:c r="X14" s="2" t="n">
        <x:f>X12-X13</x:f>
        <x:v>170.06052083333338</x:v>
      </x:c>
      <x:c r="Y14" s="2" t="n">
        <x:f>Y12-Y13</x:f>
        <x:v>153.05446875000004</x:v>
      </x:c>
      <x:c r="Z14" s="2" t="n">
        <x:f>Z12-Z13</x:f>
        <x:v>136.0484166666667</x:v>
      </x:c>
      <x:c r="AA14" s="2" t="n">
        <x:f>AA12-AA13</x:f>
        <x:v>119.04236458333337</x:v>
      </x:c>
      <x:c r="AB14" s="2" t="n">
        <x:f>AB12-AB13</x:f>
        <x:v>102.03631250000004</x:v>
      </x:c>
      <x:c r="AC14" s="2" t="n">
        <x:f>AC12-AC13</x:f>
        <x:v>85.0302604166667</x:v>
      </x:c>
      <x:c r="AD14" s="2" t="n">
        <x:f>AD12-AD13</x:f>
        <x:v>68.02420833333338</x:v>
      </x:c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 t="str">
        <x:v>Opening new PP&amp;E</x:v>
      </x:c>
      <x:c r="D16" s="2" t="n">
        <x:f>K16</x:f>
        <x:v>0</x:v>
      </x:c>
      <x:c r="E16" s="2" t="n">
        <x:f>O16</x:f>
        <x:v>99.9415868141968</x:v>
      </x:c>
      <x:c r="F16" s="2" t="n">
        <x:f>S16</x:f>
        <x:v>184.33935420474725</x:v>
      </x:c>
      <x:c r="G16" s="2" t="n">
        <x:f>W16</x:f>
        <x:v>258.6743876375568</x:v>
      </x:c>
      <x:c r="H16" s="2" t="n">
        <x:f>AA16</x:f>
        <x:v>320.9489629627411</x:v>
      </x:c>
      <x:c r="I16" s="2"/>
      <x:c r="J16" s="2"/>
      <x:c r="K16" s="2" t="n">
        <x:f>0</x:f>
        <x:v>0</x:v>
      </x:c>
      <x:c r="L16" s="2" t="n">
        <x:f>K18</x:f>
        <x:v>23.491314000000003</x:v>
      </x:c>
      <x:c r="M16" s="2" t="n">
        <x:f>L18</x:f>
        <x:v>48.4593897375</x:v>
      </x:c>
      <x:c r="N16" s="2" t="n">
        <x:f>M18</x:f>
        <x:v>76.43423340820314</x:v>
      </x:c>
      <x:c r="O16" s="2" t="n">
        <x:f>N18</x:f>
        <x:v>99.9415868141968</x:v>
      </x:c>
      <x:c r="P16" s="2" t="n">
        <x:f>O18</x:f>
        <x:v>119.47039325705315</x:v>
      </x:c>
      <x:c r="Q16" s="2" t="n">
        <x:f>P18</x:f>
        <x:v>140.52039822097024</x:v>
      </x:c>
      <x:c r="R16" s="2" t="n">
        <x:f>Q18</x:f>
        <x:v>164.54274276536492</x:v>
      </x:c>
      <x:c r="S16" s="2" t="n">
        <x:f>R18</x:f>
        <x:v>184.33935420474725</x:v>
      </x:c>
      <x:c r="T16" s="2" t="n">
        <x:f>S18</x:f>
        <x:v>201.23766039453625</x:v>
      </x:c>
      <x:c r="U16" s="2" t="n">
        <x:f>T18</x:f>
        <x:v>219.7398218260601</x:v>
      </x:c>
      <x:c r="V16" s="2" t="n">
        <x:f>U18</x:f>
        <x:v>241.28431319748245</x:v>
      </x:c>
      <x:c r="W16" s="2" t="n">
        <x:f>V18</x:f>
        <x:v>258.6743876375568</x:v>
      </x:c>
      <x:c r="X16" s="2" t="n">
        <x:f>W18</x:f>
        <x:v>272.5041843200127</x:v>
      </x:c>
      <x:c r="Y16" s="2" t="n">
        <x:f>X18</x:f>
        <x:v>287.963388560371</x:v>
      </x:c>
      <x:c r="Z16" s="2" t="n">
        <x:f>Y18</x:f>
        <x:v>306.4304794292517</x:v>
      </x:c>
      <x:c r="AA16" s="2" t="n">
        <x:f>Z18</x:f>
        <x:v>320.9489629627411</x:v>
      </x:c>
      <x:c r="AB16" s="2" t="n">
        <x:f>AA18</x:f>
        <x:v>333.5246024337864</x:v>
      </x:c>
      <x:c r="AC16" s="2" t="n">
        <x:f>AB18</x:f>
        <x:v>347.8337384105</x:v>
      </x:c>
      <x:c r="AD16" s="2" t="n">
        <x:f>AC18</x:f>
        <x:v>365.28616604137767</x:v>
      </x:c>
    </x:row>
    <x:row r="17" ht="20" customHeight="1">
      <x:c r="A17" s="2"/>
      <x:c r="B17" s="2"/>
      <x:c r="C17" s="2" t="str">
        <x:v>New capex depreciation</x:v>
      </x:c>
      <x:c r="D17" s="2" t="n">
        <x:f>SUM(K17:N17)</x:f>
        <x:v>4.637029285803223</x:v>
      </x:c>
      <x:c r="E17" s="2" t="n">
        <x:f>SUM(O17:R17)</x:f>
        <x:v>16.389847533049533</x:v>
      </x:c>
      <x:c r="F17" s="2" t="n">
        <x:f>SUM(S17:V17)</x:f>
        <x:v>26.456285925713313</x:v>
      </x:c>
      <x:c r="G17" s="2" t="n">
        <x:f>SUM(W17:Z17)</x:f>
        <x:v>35.17413874834976</x:v>
      </x:c>
      <x:c r="H17" s="2" t="n">
        <x:f>SUM(AA17:AD17)</x:f>
        <x:v>42.73729593276266</x:v>
      </x:c>
      <x:c r="I17" s="2"/>
      <x:c r="J17" s="2"/>
      <x:c r="K17" s="9" t="n">
        <x:f>MIN(K16,K16/'Assumptions'!D39/4)</x:f>
        <x:v>0</x:v>
      </x:c>
      <x:c r="L17" s="9" t="n">
        <x:f>MIN(L16,L16/'Assumptions'!D39/4)</x:f>
        <x:v>0.7341035625000001</x:v>
      </x:c>
      <x:c r="M17" s="9" t="n">
        <x:f>MIN(M16,M16/'Assumptions'!D39/4)</x:f>
        <x:v>1.514355929296875</x:v>
      </x:c>
      <x:c r="N17" s="9" t="n">
        <x:f>MIN(N16,N16/'Assumptions'!D39/4)</x:f>
        <x:v>2.388569794006348</x:v>
      </x:c>
      <x:c r="O17" s="9" t="n">
        <x:f>MIN(O16,O16/'Assumptions'!D39/4)</x:f>
        <x:v>3.12317458794365</x:v>
      </x:c>
      <x:c r="P17" s="9" t="n">
        <x:f>MIN(P16,P16/'Assumptions'!D39/4)</x:f>
        <x:v>3.733449789282911</x:v>
      </x:c>
      <x:c r="Q17" s="9" t="n">
        <x:f>MIN(Q16,Q16/'Assumptions'!D39/4)</x:f>
        <x:v>4.39126244440532</x:v>
      </x:c>
      <x:c r="R17" s="9" t="n">
        <x:f>MIN(R16,R16/'Assumptions'!D39/4)</x:f>
        <x:v>5.141960711417654</x:v>
      </x:c>
      <x:c r="S17" s="9" t="n">
        <x:f>MIN(S16,S16/'Assumptions'!D39/4)</x:f>
        <x:v>5.760604818898352</x:v>
      </x:c>
      <x:c r="T17" s="9" t="n">
        <x:f>MIN(T16,T16/'Assumptions'!D39/4)</x:f>
        <x:v>6.288676887329258</x:v>
      </x:c>
      <x:c r="U17" s="9" t="n">
        <x:f>MIN(U16,U16/'Assumptions'!D39/4)</x:f>
        <x:v>6.866869432064378</x:v>
      </x:c>
      <x:c r="V17" s="9" t="n">
        <x:f>MIN(V16,V16/'Assumptions'!D39/4)</x:f>
        <x:v>7.5401347874213265</x:v>
      </x:c>
      <x:c r="W17" s="9" t="n">
        <x:f>MIN(W16,W16/'Assumptions'!D39/4)</x:f>
        <x:v>8.08357461367365</x:v>
      </x:c>
      <x:c r="X17" s="9" t="n">
        <x:f>MIN(X16,X16/'Assumptions'!D39/4)</x:f>
        <x:v>8.515755760000397</x:v>
      </x:c>
      <x:c r="Y17" s="9" t="n">
        <x:f>MIN(Y16,Y16/'Assumptions'!D39/4)</x:f>
        <x:v>8.998855892511594</x:v>
      </x:c>
      <x:c r="Z17" s="9" t="n">
        <x:f>MIN(Z16,Z16/'Assumptions'!D39/4)</x:f>
        <x:v>9.575952482164116</x:v>
      </x:c>
      <x:c r="AA17" s="9" t="n">
        <x:f>MIN(AA16,AA16/'Assumptions'!D39/4)</x:f>
        <x:v>10.02965509258566</x:v>
      </x:c>
      <x:c r="AB17" s="9" t="n">
        <x:f>MIN(AB16,AB16/'Assumptions'!D39/4)</x:f>
        <x:v>10.422643826055825</x:v>
      </x:c>
      <x:c r="AC17" s="9" t="n">
        <x:f>MIN(AC16,AC16/'Assumptions'!D39/4)</x:f>
        <x:v>10.869804325328126</x:v>
      </x:c>
      <x:c r="AD17" s="9" t="n">
        <x:f>MIN(AD16,AD16/'Assumptions'!D39/4)</x:f>
        <x:v>11.415192688793052</x:v>
      </x:c>
    </x:row>
    <x:row r="18" ht="20" customHeight="1">
      <x:c r="A18" s="2"/>
      <x:c r="B18" s="2"/>
      <x:c r="C18" s="2" t="str">
        <x:v>Ending new PP&amp;E</x:v>
      </x:c>
      <x:c r="D18" s="2" t="n">
        <x:f>N18</x:f>
        <x:v>99.9415868141968</x:v>
      </x:c>
      <x:c r="E18" s="2" t="n">
        <x:f>R18</x:f>
        <x:v>184.33935420474725</x:v>
      </x:c>
      <x:c r="F18" s="2" t="n">
        <x:f>V18</x:f>
        <x:v>258.6743876375568</x:v>
      </x:c>
      <x:c r="G18" s="2" t="n">
        <x:f>Z18</x:f>
        <x:v>320.9489629627411</x:v>
      </x:c>
      <x:c r="H18" s="2" t="n">
        <x:f>AD18</x:f>
        <x:v>378.71017310159283</x:v>
      </x:c>
      <x:c r="I18" s="2"/>
      <x:c r="J18" s="2"/>
      <x:c r="K18" s="2" t="n">
        <x:f>K16+K10-K17</x:f>
        <x:v>23.491314000000003</x:v>
      </x:c>
      <x:c r="L18" s="2" t="n">
        <x:f>L16+L10-L17</x:f>
        <x:v>48.4593897375</x:v>
      </x:c>
      <x:c r="M18" s="2" t="n">
        <x:f>M16+M10-M17</x:f>
        <x:v>76.43423340820314</x:v>
      </x:c>
      <x:c r="N18" s="2" t="n">
        <x:f>N16+N10-N17</x:f>
        <x:v>99.9415868141968</x:v>
      </x:c>
      <x:c r="O18" s="2" t="n">
        <x:f>O16+O10-O17</x:f>
        <x:v>119.47039325705315</x:v>
      </x:c>
      <x:c r="P18" s="2" t="n">
        <x:f>P16+P10-P17</x:f>
        <x:v>140.52039822097024</x:v>
      </x:c>
      <x:c r="Q18" s="2" t="n">
        <x:f>Q16+Q10-Q17</x:f>
        <x:v>164.54274276536492</x:v>
      </x:c>
      <x:c r="R18" s="2" t="n">
        <x:f>R16+R10-R17</x:f>
        <x:v>184.33935420474725</x:v>
      </x:c>
      <x:c r="S18" s="2" t="n">
        <x:f>S16+S10-S17</x:f>
        <x:v>201.23766039453625</x:v>
      </x:c>
      <x:c r="T18" s="2" t="n">
        <x:f>T16+T10-T17</x:f>
        <x:v>219.7398218260601</x:v>
      </x:c>
      <x:c r="U18" s="2" t="n">
        <x:f>U16+U10-U17</x:f>
        <x:v>241.28431319748245</x:v>
      </x:c>
      <x:c r="V18" s="2" t="n">
        <x:f>V16+V10-V17</x:f>
        <x:v>258.6743876375568</x:v>
      </x:c>
      <x:c r="W18" s="2" t="n">
        <x:f>W16+W10-W17</x:f>
        <x:v>272.5041843200127</x:v>
      </x:c>
      <x:c r="X18" s="2" t="n">
        <x:f>X16+X10-X17</x:f>
        <x:v>287.963388560371</x:v>
      </x:c>
      <x:c r="Y18" s="2" t="n">
        <x:f>Y16+Y10-Y17</x:f>
        <x:v>306.4304794292517</x:v>
      </x:c>
      <x:c r="Z18" s="2" t="n">
        <x:f>Z16+Z10-Z17</x:f>
        <x:v>320.9489629627411</x:v>
      </x:c>
      <x:c r="AA18" s="2" t="n">
        <x:f>AA16+AA10-AA17</x:f>
        <x:v>333.5246024337864</x:v>
      </x:c>
      <x:c r="AB18" s="2" t="n">
        <x:f>AB16+AB10-AB17</x:f>
        <x:v>347.8337384105</x:v>
      </x:c>
      <x:c r="AC18" s="2" t="n">
        <x:f>AC16+AC10-AC17</x:f>
        <x:v>365.28616604137767</x:v>
      </x:c>
      <x:c r="AD18" s="2" t="n">
        <x:f>AD16+AD10-AD17</x:f>
        <x:v>378.71017310159283</x:v>
      </x:c>
    </x:row>
    <x:row r="19" ht="2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20" customHeight="1">
      <x:c r="A20" s="2"/>
      <x:c r="B20" s="2"/>
      <x:c r="C20" s="2" t="str">
        <x:v>Opening PP&amp;E step-up</x:v>
      </x:c>
      <x:c r="D20" s="2" t="n">
        <x:f>K20</x:f>
        <x:v>40</x:v>
      </x:c>
      <x:c r="E20" s="2" t="n">
        <x:f>O20</x:f>
        <x:v>36</x:v>
      </x:c>
      <x:c r="F20" s="2" t="n">
        <x:f>S20</x:f>
        <x:v>32</x:v>
      </x:c>
      <x:c r="G20" s="2" t="n">
        <x:f>W20</x:f>
        <x:v>28</x:v>
      </x:c>
      <x:c r="H20" s="2" t="n">
        <x:f>AA20</x:f>
        <x:v>24</x:v>
      </x:c>
      <x:c r="I20" s="2"/>
      <x:c r="J20" s="2"/>
      <x:c r="K20" s="9" t="n">
        <x:f>'Assumptions'!D31</x:f>
        <x:v>40</x:v>
      </x:c>
      <x:c r="L20" s="2" t="n">
        <x:f>K22</x:f>
        <x:v>39</x:v>
      </x:c>
      <x:c r="M20" s="2" t="n">
        <x:f>L22</x:f>
        <x:v>38</x:v>
      </x:c>
      <x:c r="N20" s="2" t="n">
        <x:f>M22</x:f>
        <x:v>37</x:v>
      </x:c>
      <x:c r="O20" s="2" t="n">
        <x:f>N22</x:f>
        <x:v>36</x:v>
      </x:c>
      <x:c r="P20" s="2" t="n">
        <x:f>O22</x:f>
        <x:v>35</x:v>
      </x:c>
      <x:c r="Q20" s="2" t="n">
        <x:f>P22</x:f>
        <x:v>34</x:v>
      </x:c>
      <x:c r="R20" s="2" t="n">
        <x:f>Q22</x:f>
        <x:v>33</x:v>
      </x:c>
      <x:c r="S20" s="2" t="n">
        <x:f>R22</x:f>
        <x:v>32</x:v>
      </x:c>
      <x:c r="T20" s="2" t="n">
        <x:f>S22</x:f>
        <x:v>31</x:v>
      </x:c>
      <x:c r="U20" s="2" t="n">
        <x:f>T22</x:f>
        <x:v>30</x:v>
      </x:c>
      <x:c r="V20" s="2" t="n">
        <x:f>U22</x:f>
        <x:v>29</x:v>
      </x:c>
      <x:c r="W20" s="2" t="n">
        <x:f>V22</x:f>
        <x:v>28</x:v>
      </x:c>
      <x:c r="X20" s="2" t="n">
        <x:f>W22</x:f>
        <x:v>27</x:v>
      </x:c>
      <x:c r="Y20" s="2" t="n">
        <x:f>X22</x:f>
        <x:v>26</x:v>
      </x:c>
      <x:c r="Z20" s="2" t="n">
        <x:f>Y22</x:f>
        <x:v>25</x:v>
      </x:c>
      <x:c r="AA20" s="2" t="n">
        <x:f>Z22</x:f>
        <x:v>24</x:v>
      </x:c>
      <x:c r="AB20" s="2" t="n">
        <x:f>AA22</x:f>
        <x:v>23</x:v>
      </x:c>
      <x:c r="AC20" s="2" t="n">
        <x:f>AB22</x:f>
        <x:v>22</x:v>
      </x:c>
      <x:c r="AD20" s="2" t="n">
        <x:f>AC22</x:f>
        <x:v>21</x:v>
      </x:c>
    </x:row>
    <x:row r="21" ht="20" customHeight="1">
      <x:c r="A21" s="2"/>
      <x:c r="B21" s="2"/>
      <x:c r="C21" s="2" t="str">
        <x:v>PP&amp;E step-up depreciation</x:v>
      </x:c>
      <x:c r="D21" s="2" t="n">
        <x:f>SUM(K21:N21)</x:f>
        <x:v>4</x:v>
      </x:c>
      <x:c r="E21" s="2" t="n">
        <x:f>SUM(O21:R21)</x:f>
        <x:v>4</x:v>
      </x:c>
      <x:c r="F21" s="2" t="n">
        <x:f>SUM(S21:V21)</x:f>
        <x:v>4</x:v>
      </x:c>
      <x:c r="G21" s="2" t="n">
        <x:f>SUM(W21:Z21)</x:f>
        <x:v>4</x:v>
      </x:c>
      <x:c r="H21" s="2" t="n">
        <x:f>SUM(AA21:AD21)</x:f>
        <x:v>4</x:v>
      </x:c>
      <x:c r="I21" s="2"/>
      <x:c r="J21" s="2"/>
      <x:c r="K21" s="9" t="n">
        <x:f>MIN(K20,'Assumptions'!D31/'Assumptions'!D33/4)</x:f>
        <x:v>1</x:v>
      </x:c>
      <x:c r="L21" s="9" t="n">
        <x:f>MIN(L20,'Assumptions'!D31/'Assumptions'!D33/4)</x:f>
        <x:v>1</x:v>
      </x:c>
      <x:c r="M21" s="9" t="n">
        <x:f>MIN(M20,'Assumptions'!D31/'Assumptions'!D33/4)</x:f>
        <x:v>1</x:v>
      </x:c>
      <x:c r="N21" s="9" t="n">
        <x:f>MIN(N20,'Assumptions'!D31/'Assumptions'!D33/4)</x:f>
        <x:v>1</x:v>
      </x:c>
      <x:c r="O21" s="9" t="n">
        <x:f>MIN(O20,'Assumptions'!D31/'Assumptions'!D33/4)</x:f>
        <x:v>1</x:v>
      </x:c>
      <x:c r="P21" s="9" t="n">
        <x:f>MIN(P20,'Assumptions'!D31/'Assumptions'!D33/4)</x:f>
        <x:v>1</x:v>
      </x:c>
      <x:c r="Q21" s="9" t="n">
        <x:f>MIN(Q20,'Assumptions'!D31/'Assumptions'!D33/4)</x:f>
        <x:v>1</x:v>
      </x:c>
      <x:c r="R21" s="9" t="n">
        <x:f>MIN(R20,'Assumptions'!D31/'Assumptions'!D33/4)</x:f>
        <x:v>1</x:v>
      </x:c>
      <x:c r="S21" s="9" t="n">
        <x:f>MIN(S20,'Assumptions'!D31/'Assumptions'!D33/4)</x:f>
        <x:v>1</x:v>
      </x:c>
      <x:c r="T21" s="9" t="n">
        <x:f>MIN(T20,'Assumptions'!D31/'Assumptions'!D33/4)</x:f>
        <x:v>1</x:v>
      </x:c>
      <x:c r="U21" s="9" t="n">
        <x:f>MIN(U20,'Assumptions'!D31/'Assumptions'!D33/4)</x:f>
        <x:v>1</x:v>
      </x:c>
      <x:c r="V21" s="9" t="n">
        <x:f>MIN(V20,'Assumptions'!D31/'Assumptions'!D33/4)</x:f>
        <x:v>1</x:v>
      </x:c>
      <x:c r="W21" s="9" t="n">
        <x:f>MIN(W20,'Assumptions'!D31/'Assumptions'!D33/4)</x:f>
        <x:v>1</x:v>
      </x:c>
      <x:c r="X21" s="9" t="n">
        <x:f>MIN(X20,'Assumptions'!D31/'Assumptions'!D33/4)</x:f>
        <x:v>1</x:v>
      </x:c>
      <x:c r="Y21" s="9" t="n">
        <x:f>MIN(Y20,'Assumptions'!D31/'Assumptions'!D33/4)</x:f>
        <x:v>1</x:v>
      </x:c>
      <x:c r="Z21" s="9" t="n">
        <x:f>MIN(Z20,'Assumptions'!D31/'Assumptions'!D33/4)</x:f>
        <x:v>1</x:v>
      </x:c>
      <x:c r="AA21" s="9" t="n">
        <x:f>MIN(AA20,'Assumptions'!D31/'Assumptions'!D33/4)</x:f>
        <x:v>1</x:v>
      </x:c>
      <x:c r="AB21" s="9" t="n">
        <x:f>MIN(AB20,'Assumptions'!D31/'Assumptions'!D33/4)</x:f>
        <x:v>1</x:v>
      </x:c>
      <x:c r="AC21" s="9" t="n">
        <x:f>MIN(AC20,'Assumptions'!D31/'Assumptions'!D33/4)</x:f>
        <x:v>1</x:v>
      </x:c>
      <x:c r="AD21" s="9" t="n">
        <x:f>MIN(AD20,'Assumptions'!D31/'Assumptions'!D33/4)</x:f>
        <x:v>1</x:v>
      </x:c>
    </x:row>
    <x:row r="22" ht="20" customHeight="1">
      <x:c r="A22" s="2"/>
      <x:c r="B22" s="2"/>
      <x:c r="C22" s="2" t="str">
        <x:v>Ending PP&amp;E step-up</x:v>
      </x:c>
      <x:c r="D22" s="2" t="n">
        <x:f>N22</x:f>
        <x:v>36</x:v>
      </x:c>
      <x:c r="E22" s="2" t="n">
        <x:f>R22</x:f>
        <x:v>32</x:v>
      </x:c>
      <x:c r="F22" s="2" t="n">
        <x:f>V22</x:f>
        <x:v>28</x:v>
      </x:c>
      <x:c r="G22" s="2" t="n">
        <x:f>Z22</x:f>
        <x:v>24</x:v>
      </x:c>
      <x:c r="H22" s="2" t="n">
        <x:f>AD22</x:f>
        <x:v>20</x:v>
      </x:c>
      <x:c r="I22" s="2"/>
      <x:c r="J22" s="2"/>
      <x:c r="K22" s="2" t="n">
        <x:f>K20-K21</x:f>
        <x:v>39</x:v>
      </x:c>
      <x:c r="L22" s="2" t="n">
        <x:f>L20-L21</x:f>
        <x:v>38</x:v>
      </x:c>
      <x:c r="M22" s="2" t="n">
        <x:f>M20-M21</x:f>
        <x:v>37</x:v>
      </x:c>
      <x:c r="N22" s="2" t="n">
        <x:f>N20-N21</x:f>
        <x:v>36</x:v>
      </x:c>
      <x:c r="O22" s="2" t="n">
        <x:f>O20-O21</x:f>
        <x:v>35</x:v>
      </x:c>
      <x:c r="P22" s="2" t="n">
        <x:f>P20-P21</x:f>
        <x:v>34</x:v>
      </x:c>
      <x:c r="Q22" s="2" t="n">
        <x:f>Q20-Q21</x:f>
        <x:v>33</x:v>
      </x:c>
      <x:c r="R22" s="2" t="n">
        <x:f>R20-R21</x:f>
        <x:v>32</x:v>
      </x:c>
      <x:c r="S22" s="2" t="n">
        <x:f>S20-S21</x:f>
        <x:v>31</x:v>
      </x:c>
      <x:c r="T22" s="2" t="n">
        <x:f>T20-T21</x:f>
        <x:v>30</x:v>
      </x:c>
      <x:c r="U22" s="2" t="n">
        <x:f>U20-U21</x:f>
        <x:v>29</x:v>
      </x:c>
      <x:c r="V22" s="2" t="n">
        <x:f>V20-V21</x:f>
        <x:v>28</x:v>
      </x:c>
      <x:c r="W22" s="2" t="n">
        <x:f>W20-W21</x:f>
        <x:v>27</x:v>
      </x:c>
      <x:c r="X22" s="2" t="n">
        <x:f>X20-X21</x:f>
        <x:v>26</x:v>
      </x:c>
      <x:c r="Y22" s="2" t="n">
        <x:f>Y20-Y21</x:f>
        <x:v>25</x:v>
      </x:c>
      <x:c r="Z22" s="2" t="n">
        <x:f>Z20-Z21</x:f>
        <x:v>24</x:v>
      </x:c>
      <x:c r="AA22" s="2" t="n">
        <x:f>AA20-AA21</x:f>
        <x:v>23</x:v>
      </x:c>
      <x:c r="AB22" s="2" t="n">
        <x:f>AB20-AB21</x:f>
        <x:v>22</x:v>
      </x:c>
      <x:c r="AC22" s="2" t="n">
        <x:f>AC20-AC21</x:f>
        <x:v>21</x:v>
      </x:c>
      <x:c r="AD22" s="2" t="n">
        <x:f>AD20-AD21</x:f>
        <x:v>20</x:v>
      </x:c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 t="str">
        <x:v>Opening legacy intangibles</x:v>
      </x:c>
      <x:c r="D24" s="2" t="n">
        <x:f>K24</x:f>
        <x:v>990.825</x:v>
      </x:c>
      <x:c r="E24" s="2" t="n">
        <x:f>O24</x:f>
        <x:v>939.2250000000001</x:v>
      </x:c>
      <x:c r="F24" s="2" t="n">
        <x:f>S24</x:f>
        <x:v>887.6250000000002</x:v>
      </x:c>
      <x:c r="G24" s="2" t="n">
        <x:f>W24</x:f>
        <x:v>836.0250000000003</x:v>
      </x:c>
      <x:c r="H24" s="2" t="n">
        <x:f>AA24</x:f>
        <x:v>784.4250000000004</x:v>
      </x:c>
      <x:c r="I24" s="2"/>
      <x:c r="J24" s="2"/>
      <x:c r="K24" s="9" t="n">
        <x:f>'Closing Bridge'!D29</x:f>
        <x:v>990.825</x:v>
      </x:c>
      <x:c r="L24" s="2" t="n">
        <x:f>K26</x:f>
        <x:v>977.9250000000001</x:v>
      </x:c>
      <x:c r="M24" s="2" t="n">
        <x:f>L26</x:f>
        <x:v>965.0250000000001</x:v>
      </x:c>
      <x:c r="N24" s="2" t="n">
        <x:f>M26</x:f>
        <x:v>952.1250000000001</x:v>
      </x:c>
      <x:c r="O24" s="2" t="n">
        <x:f>N26</x:f>
        <x:v>939.2250000000001</x:v>
      </x:c>
      <x:c r="P24" s="2" t="n">
        <x:f>O26</x:f>
        <x:v>926.3250000000002</x:v>
      </x:c>
      <x:c r="Q24" s="2" t="n">
        <x:f>P26</x:f>
        <x:v>913.4250000000002</x:v>
      </x:c>
      <x:c r="R24" s="2" t="n">
        <x:f>Q26</x:f>
        <x:v>900.5250000000002</x:v>
      </x:c>
      <x:c r="S24" s="2" t="n">
        <x:f>R26</x:f>
        <x:v>887.6250000000002</x:v>
      </x:c>
      <x:c r="T24" s="2" t="n">
        <x:f>S26</x:f>
        <x:v>874.7250000000003</x:v>
      </x:c>
      <x:c r="U24" s="2" t="n">
        <x:f>T26</x:f>
        <x:v>861.8250000000003</x:v>
      </x:c>
      <x:c r="V24" s="2" t="n">
        <x:f>U26</x:f>
        <x:v>848.9250000000003</x:v>
      </x:c>
      <x:c r="W24" s="2" t="n">
        <x:f>V26</x:f>
        <x:v>836.0250000000003</x:v>
      </x:c>
      <x:c r="X24" s="2" t="n">
        <x:f>W26</x:f>
        <x:v>823.1250000000003</x:v>
      </x:c>
      <x:c r="Y24" s="2" t="n">
        <x:f>X26</x:f>
        <x:v>810.2250000000004</x:v>
      </x:c>
      <x:c r="Z24" s="2" t="n">
        <x:f>Y26</x:f>
        <x:v>797.3250000000004</x:v>
      </x:c>
      <x:c r="AA24" s="2" t="n">
        <x:f>Z26</x:f>
        <x:v>784.4250000000004</x:v>
      </x:c>
      <x:c r="AB24" s="2" t="n">
        <x:f>AA26</x:f>
        <x:v>771.5250000000004</x:v>
      </x:c>
      <x:c r="AC24" s="2" t="n">
        <x:f>AB26</x:f>
        <x:v>758.6250000000005</x:v>
      </x:c>
      <x:c r="AD24" s="2" t="n">
        <x:f>AC26</x:f>
        <x:v>745.7250000000005</x:v>
      </x:c>
    </x:row>
    <x:row r="25" ht="20" customHeight="1">
      <x:c r="A25" s="2"/>
      <x:c r="B25" s="2"/>
      <x:c r="C25" s="2" t="str">
        <x:v>Legacy intangible amortization</x:v>
      </x:c>
      <x:c r="D25" s="2" t="n">
        <x:f>SUM(K25:N25)</x:f>
        <x:v>51.6</x:v>
      </x:c>
      <x:c r="E25" s="2" t="n">
        <x:f>SUM(O25:R25)</x:f>
        <x:v>51.6</x:v>
      </x:c>
      <x:c r="F25" s="2" t="n">
        <x:f>SUM(S25:V25)</x:f>
        <x:v>51.6</x:v>
      </x:c>
      <x:c r="G25" s="2" t="n">
        <x:f>SUM(W25:Z25)</x:f>
        <x:v>51.6</x:v>
      </x:c>
      <x:c r="H25" s="2" t="n">
        <x:f>SUM(AA25:AD25)</x:f>
        <x:v>51.6</x:v>
      </x:c>
      <x:c r="I25" s="2"/>
      <x:c r="J25" s="2"/>
      <x:c r="K25" s="9" t="n">
        <x:f>MIN(K24,'Assumptions'!D40/4)</x:f>
        <x:v>12.9</x:v>
      </x:c>
      <x:c r="L25" s="9" t="n">
        <x:f>MIN(L24,'Assumptions'!D40/4)</x:f>
        <x:v>12.9</x:v>
      </x:c>
      <x:c r="M25" s="9" t="n">
        <x:f>MIN(M24,'Assumptions'!D40/4)</x:f>
        <x:v>12.9</x:v>
      </x:c>
      <x:c r="N25" s="9" t="n">
        <x:f>MIN(N24,'Assumptions'!D40/4)</x:f>
        <x:v>12.9</x:v>
      </x:c>
      <x:c r="O25" s="9" t="n">
        <x:f>MIN(O24,'Assumptions'!D40/4)</x:f>
        <x:v>12.9</x:v>
      </x:c>
      <x:c r="P25" s="9" t="n">
        <x:f>MIN(P24,'Assumptions'!D40/4)</x:f>
        <x:v>12.9</x:v>
      </x:c>
      <x:c r="Q25" s="9" t="n">
        <x:f>MIN(Q24,'Assumptions'!D40/4)</x:f>
        <x:v>12.9</x:v>
      </x:c>
      <x:c r="R25" s="9" t="n">
        <x:f>MIN(R24,'Assumptions'!D40/4)</x:f>
        <x:v>12.9</x:v>
      </x:c>
      <x:c r="S25" s="9" t="n">
        <x:f>MIN(S24,'Assumptions'!D40/4)</x:f>
        <x:v>12.9</x:v>
      </x:c>
      <x:c r="T25" s="9" t="n">
        <x:f>MIN(T24,'Assumptions'!D40/4)</x:f>
        <x:v>12.9</x:v>
      </x:c>
      <x:c r="U25" s="9" t="n">
        <x:f>MIN(U24,'Assumptions'!D40/4)</x:f>
        <x:v>12.9</x:v>
      </x:c>
      <x:c r="V25" s="9" t="n">
        <x:f>MIN(V24,'Assumptions'!D40/4)</x:f>
        <x:v>12.9</x:v>
      </x:c>
      <x:c r="W25" s="9" t="n">
        <x:f>MIN(W24,'Assumptions'!D40/4)</x:f>
        <x:v>12.9</x:v>
      </x:c>
      <x:c r="X25" s="9" t="n">
        <x:f>MIN(X24,'Assumptions'!D40/4)</x:f>
        <x:v>12.9</x:v>
      </x:c>
      <x:c r="Y25" s="9" t="n">
        <x:f>MIN(Y24,'Assumptions'!D40/4)</x:f>
        <x:v>12.9</x:v>
      </x:c>
      <x:c r="Z25" s="9" t="n">
        <x:f>MIN(Z24,'Assumptions'!D40/4)</x:f>
        <x:v>12.9</x:v>
      </x:c>
      <x:c r="AA25" s="9" t="n">
        <x:f>MIN(AA24,'Assumptions'!D40/4)</x:f>
        <x:v>12.9</x:v>
      </x:c>
      <x:c r="AB25" s="9" t="n">
        <x:f>MIN(AB24,'Assumptions'!D40/4)</x:f>
        <x:v>12.9</x:v>
      </x:c>
      <x:c r="AC25" s="9" t="n">
        <x:f>MIN(AC24,'Assumptions'!D40/4)</x:f>
        <x:v>12.9</x:v>
      </x:c>
      <x:c r="AD25" s="9" t="n">
        <x:f>MIN(AD24,'Assumptions'!D40/4)</x:f>
        <x:v>12.9</x:v>
      </x:c>
    </x:row>
    <x:row r="26" ht="20" customHeight="1">
      <x:c r="A26" s="2"/>
      <x:c r="B26" s="2"/>
      <x:c r="C26" s="2" t="str">
        <x:v>Ending legacy intangibles</x:v>
      </x:c>
      <x:c r="D26" s="2" t="n">
        <x:f>N26</x:f>
        <x:v>939.2250000000001</x:v>
      </x:c>
      <x:c r="E26" s="2" t="n">
        <x:f>R26</x:f>
        <x:v>887.6250000000002</x:v>
      </x:c>
      <x:c r="F26" s="2" t="n">
        <x:f>V26</x:f>
        <x:v>836.0250000000003</x:v>
      </x:c>
      <x:c r="G26" s="2" t="n">
        <x:f>Z26</x:f>
        <x:v>784.4250000000004</x:v>
      </x:c>
      <x:c r="H26" s="2" t="n">
        <x:f>AD26</x:f>
        <x:v>732.8250000000005</x:v>
      </x:c>
      <x:c r="I26" s="2"/>
      <x:c r="J26" s="2"/>
      <x:c r="K26" s="2" t="n">
        <x:f>K24-K25</x:f>
        <x:v>977.9250000000001</x:v>
      </x:c>
      <x:c r="L26" s="2" t="n">
        <x:f>L24-L25</x:f>
        <x:v>965.0250000000001</x:v>
      </x:c>
      <x:c r="M26" s="2" t="n">
        <x:f>M24-M25</x:f>
        <x:v>952.1250000000001</x:v>
      </x:c>
      <x:c r="N26" s="2" t="n">
        <x:f>N24-N25</x:f>
        <x:v>939.2250000000001</x:v>
      </x:c>
      <x:c r="O26" s="2" t="n">
        <x:f>O24-O25</x:f>
        <x:v>926.3250000000002</x:v>
      </x:c>
      <x:c r="P26" s="2" t="n">
        <x:f>P24-P25</x:f>
        <x:v>913.4250000000002</x:v>
      </x:c>
      <x:c r="Q26" s="2" t="n">
        <x:f>Q24-Q25</x:f>
        <x:v>900.5250000000002</x:v>
      </x:c>
      <x:c r="R26" s="2" t="n">
        <x:f>R24-R25</x:f>
        <x:v>887.6250000000002</x:v>
      </x:c>
      <x:c r="S26" s="2" t="n">
        <x:f>S24-S25</x:f>
        <x:v>874.7250000000003</x:v>
      </x:c>
      <x:c r="T26" s="2" t="n">
        <x:f>T24-T25</x:f>
        <x:v>861.8250000000003</x:v>
      </x:c>
      <x:c r="U26" s="2" t="n">
        <x:f>U24-U25</x:f>
        <x:v>848.9250000000003</x:v>
      </x:c>
      <x:c r="V26" s="2" t="n">
        <x:f>V24-V25</x:f>
        <x:v>836.0250000000003</x:v>
      </x:c>
      <x:c r="W26" s="2" t="n">
        <x:f>W24-W25</x:f>
        <x:v>823.1250000000003</x:v>
      </x:c>
      <x:c r="X26" s="2" t="n">
        <x:f>X24-X25</x:f>
        <x:v>810.2250000000004</x:v>
      </x:c>
      <x:c r="Y26" s="2" t="n">
        <x:f>Y24-Y25</x:f>
        <x:v>797.3250000000004</x:v>
      </x:c>
      <x:c r="Z26" s="2" t="n">
        <x:f>Z24-Z25</x:f>
        <x:v>784.4250000000004</x:v>
      </x:c>
      <x:c r="AA26" s="2" t="n">
        <x:f>AA24-AA25</x:f>
        <x:v>771.5250000000004</x:v>
      </x:c>
      <x:c r="AB26" s="2" t="n">
        <x:f>AB24-AB25</x:f>
        <x:v>758.6250000000005</x:v>
      </x:c>
      <x:c r="AC26" s="2" t="n">
        <x:f>AC24-AC25</x:f>
        <x:v>745.7250000000005</x:v>
      </x:c>
      <x:c r="AD26" s="2" t="n">
        <x:f>AD24-AD25</x:f>
        <x:v>732.8250000000005</x:v>
      </x:c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20" customHeight="1">
      <x:c r="A28" s="2"/>
      <x:c r="B28" s="2"/>
      <x:c r="C28" s="2" t="str">
        <x:v>PPA intangible amortization</x:v>
      </x:c>
      <x:c r="D28" s="2" t="n">
        <x:f>SUM(K28:N28)</x:f>
        <x:v>40</x:v>
      </x:c>
      <x:c r="E28" s="2" t="n">
        <x:f>SUM(O28:R28)</x:f>
        <x:v>40</x:v>
      </x:c>
      <x:c r="F28" s="2" t="n">
        <x:f>SUM(S28:V28)</x:f>
        <x:v>40</x:v>
      </x:c>
      <x:c r="G28" s="2" t="n">
        <x:f>SUM(W28:Z28)</x:f>
        <x:v>40</x:v>
      </x:c>
      <x:c r="H28" s="2" t="n">
        <x:f>SUM(AA28:AD28)</x:f>
        <x:v>40</x:v>
      </x:c>
      <x:c r="I28" s="2"/>
      <x:c r="J28" s="2"/>
      <x:c r="K28" s="9" t="n">
        <x:f>MIN('Assumptions'!D32,'Assumptions'!D32/'Assumptions'!D33/4)</x:f>
        <x:v>10</x:v>
      </x:c>
      <x:c r="L28" s="9" t="n">
        <x:f>MIN(K30,'Assumptions'!D32/'Assumptions'!D33/4)</x:f>
        <x:v>10</x:v>
      </x:c>
      <x:c r="M28" s="9" t="n">
        <x:f>MIN(L30,'Assumptions'!D32/'Assumptions'!D33/4)</x:f>
        <x:v>10</x:v>
      </x:c>
      <x:c r="N28" s="9" t="n">
        <x:f>MIN(M30,'Assumptions'!D32/'Assumptions'!D33/4)</x:f>
        <x:v>10</x:v>
      </x:c>
      <x:c r="O28" s="9" t="n">
        <x:f>MIN(N30,'Assumptions'!D32/'Assumptions'!D33/4)</x:f>
        <x:v>10</x:v>
      </x:c>
      <x:c r="P28" s="9" t="n">
        <x:f>MIN(O30,'Assumptions'!D32/'Assumptions'!D33/4)</x:f>
        <x:v>10</x:v>
      </x:c>
      <x:c r="Q28" s="9" t="n">
        <x:f>MIN(P30,'Assumptions'!D32/'Assumptions'!D33/4)</x:f>
        <x:v>10</x:v>
      </x:c>
      <x:c r="R28" s="9" t="n">
        <x:f>MIN(Q30,'Assumptions'!D32/'Assumptions'!D33/4)</x:f>
        <x:v>10</x:v>
      </x:c>
      <x:c r="S28" s="9" t="n">
        <x:f>MIN(R30,'Assumptions'!D32/'Assumptions'!D33/4)</x:f>
        <x:v>10</x:v>
      </x:c>
      <x:c r="T28" s="9" t="n">
        <x:f>MIN(S30,'Assumptions'!D32/'Assumptions'!D33/4)</x:f>
        <x:v>10</x:v>
      </x:c>
      <x:c r="U28" s="9" t="n">
        <x:f>MIN(T30,'Assumptions'!D32/'Assumptions'!D33/4)</x:f>
        <x:v>10</x:v>
      </x:c>
      <x:c r="V28" s="9" t="n">
        <x:f>MIN(U30,'Assumptions'!D32/'Assumptions'!D33/4)</x:f>
        <x:v>10</x:v>
      </x:c>
      <x:c r="W28" s="9" t="n">
        <x:f>MIN(V30,'Assumptions'!D32/'Assumptions'!D33/4)</x:f>
        <x:v>10</x:v>
      </x:c>
      <x:c r="X28" s="9" t="n">
        <x:f>MIN(W30,'Assumptions'!D32/'Assumptions'!D33/4)</x:f>
        <x:v>10</x:v>
      </x:c>
      <x:c r="Y28" s="9" t="n">
        <x:f>MIN(X30,'Assumptions'!D32/'Assumptions'!D33/4)</x:f>
        <x:v>10</x:v>
      </x:c>
      <x:c r="Z28" s="9" t="n">
        <x:f>MIN(Y30,'Assumptions'!D32/'Assumptions'!D33/4)</x:f>
        <x:v>10</x:v>
      </x:c>
      <x:c r="AA28" s="9" t="n">
        <x:f>MIN(Z30,'Assumptions'!D32/'Assumptions'!D33/4)</x:f>
        <x:v>10</x:v>
      </x:c>
      <x:c r="AB28" s="9" t="n">
        <x:f>MIN(AA30,'Assumptions'!D32/'Assumptions'!D33/4)</x:f>
        <x:v>10</x:v>
      </x:c>
      <x:c r="AC28" s="9" t="n">
        <x:f>MIN(AB30,'Assumptions'!D32/'Assumptions'!D33/4)</x:f>
        <x:v>10</x:v>
      </x:c>
      <x:c r="AD28" s="9" t="n">
        <x:f>MIN(AC30,'Assumptions'!D32/'Assumptions'!D33/4)</x:f>
        <x:v>10</x:v>
      </x:c>
    </x:row>
    <x:row r="29" ht="20" customHeight="1">
      <x:c r="A29" s="2"/>
      <x:c r="B29" s="2"/>
      <x:c r="C29" s="2" t="str">
        <x:v>Total D&amp;A</x:v>
      </x:c>
      <x:c r="D29" s="2" t="n">
        <x:f>SUM(K29:N29)</x:f>
        <x:v>168.26123761913658</x:v>
      </x:c>
      <x:c r="E29" s="2" t="n">
        <x:f>SUM(O29:R29)</x:f>
        <x:v>180.01405586638288</x:v>
      </x:c>
      <x:c r="F29" s="2" t="n">
        <x:f>SUM(S29:V29)</x:f>
        <x:v>190.08049425904665</x:v>
      </x:c>
      <x:c r="G29" s="2" t="n">
        <x:f>SUM(W29:Z29)</x:f>
        <x:v>198.7983470816831</x:v>
      </x:c>
      <x:c r="H29" s="2" t="n">
        <x:f>SUM(AA29:AD29)</x:f>
        <x:v>206.361504266096</x:v>
      </x:c>
      <x:c r="I29" s="2"/>
      <x:c r="J29" s="2"/>
      <x:c r="K29" s="2" t="n">
        <x:f>K13+K17+K21+K25+K28</x:f>
        <x:v>40.906052083333336</x:v>
      </x:c>
      <x:c r="L29" s="2" t="n">
        <x:f>L13+L17+L21+L25+L28</x:f>
        <x:v>41.64015564583333</x:v>
      </x:c>
      <x:c r="M29" s="2" t="n">
        <x:f>M13+M17+M21+M25+M28</x:f>
        <x:v>42.42040801263021</x:v>
      </x:c>
      <x:c r="N29" s="2" t="n">
        <x:f>N13+N17+N21+N25+N28</x:f>
        <x:v>43.29462187733968</x:v>
      </x:c>
      <x:c r="O29" s="2" t="n">
        <x:f>O13+O17+O21+O25+O28</x:f>
        <x:v>44.02922667127698</x:v>
      </x:c>
      <x:c r="P29" s="2" t="n">
        <x:f>P13+P17+P21+P25+P28</x:f>
        <x:v>44.63950187261624</x:v>
      </x:c>
      <x:c r="Q29" s="2" t="n">
        <x:f>Q13+Q17+Q21+Q25+Q28</x:f>
        <x:v>45.297314527738656</x:v>
      </x:c>
      <x:c r="R29" s="2" t="n">
        <x:f>R13+R17+R21+R25+R28</x:f>
        <x:v>46.04801279475099</x:v>
      </x:c>
      <x:c r="S29" s="2" t="n">
        <x:f>S13+S17+S21+S25+S28</x:f>
        <x:v>46.666656902231686</x:v>
      </x:c>
      <x:c r="T29" s="2" t="n">
        <x:f>T13+T17+T21+T25+T28</x:f>
        <x:v>47.19472897066259</x:v>
      </x:c>
      <x:c r="U29" s="2" t="n">
        <x:f>U13+U17+U21+U25+U28</x:f>
        <x:v>47.77292151539771</x:v>
      </x:c>
      <x:c r="V29" s="2" t="n">
        <x:f>V13+V17+V21+V25+V28</x:f>
        <x:v>48.44618687075466</x:v>
      </x:c>
      <x:c r="W29" s="2" t="n">
        <x:f>W13+W17+W21+W25+W28</x:f>
        <x:v>48.98962669700698</x:v>
      </x:c>
      <x:c r="X29" s="2" t="n">
        <x:f>X13+X17+X21+X25+X28</x:f>
        <x:v>49.42180784333373</x:v>
      </x:c>
      <x:c r="Y29" s="2" t="n">
        <x:f>Y13+Y17+Y21+Y25+Y28</x:f>
        <x:v>49.90490797584493</x:v>
      </x:c>
      <x:c r="Z29" s="2" t="n">
        <x:f>Z13+Z17+Z21+Z25+Z28</x:f>
        <x:v>50.48200456549745</x:v>
      </x:c>
      <x:c r="AA29" s="2" t="n">
        <x:f>AA13+AA17+AA21+AA25+AA28</x:f>
        <x:v>50.93570717591899</x:v>
      </x:c>
      <x:c r="AB29" s="2" t="n">
        <x:f>AB13+AB17+AB21+AB25+AB28</x:f>
        <x:v>51.32869590938916</x:v>
      </x:c>
      <x:c r="AC29" s="2" t="n">
        <x:f>AC13+AC17+AC21+AC25+AC28</x:f>
        <x:v>51.77585640866146</x:v>
      </x:c>
      <x:c r="AD29" s="2" t="n">
        <x:f>AD13+AD17+AD21+AD25+AD28</x:f>
        <x:v>52.321244772126384</x:v>
      </x:c>
    </x:row>
    <x:row r="30" ht="20" customHeight="1">
      <x:c r="A30" s="2"/>
      <x:c r="B30" s="2"/>
      <x:c r="C30" s="2" t="str">
        <x:v>Ending new PPA intangibles</x:v>
      </x:c>
      <x:c r="D30" s="2" t="n">
        <x:f>N30</x:f>
        <x:v>360</x:v>
      </x:c>
      <x:c r="E30" s="2" t="n">
        <x:f>R30</x:f>
        <x:v>320</x:v>
      </x:c>
      <x:c r="F30" s="2" t="n">
        <x:f>V30</x:f>
        <x:v>280</x:v>
      </x:c>
      <x:c r="G30" s="2" t="n">
        <x:f>Z30</x:f>
        <x:v>240</x:v>
      </x:c>
      <x:c r="H30" s="2" t="n">
        <x:f>AD30</x:f>
        <x:v>200</x:v>
      </x:c>
      <x:c r="I30" s="2"/>
      <x:c r="J30" s="2"/>
      <x:c r="K30" s="9" t="n">
        <x:f>'Assumptions'!D32-K28</x:f>
        <x:v>390</x:v>
      </x:c>
      <x:c r="L30" s="2" t="n">
        <x:f>K30-L28</x:f>
        <x:v>380</x:v>
      </x:c>
      <x:c r="M30" s="2" t="n">
        <x:f>L30-M28</x:f>
        <x:v>370</x:v>
      </x:c>
      <x:c r="N30" s="2" t="n">
        <x:f>M30-N28</x:f>
        <x:v>360</x:v>
      </x:c>
      <x:c r="O30" s="2" t="n">
        <x:f>N30-O28</x:f>
        <x:v>350</x:v>
      </x:c>
      <x:c r="P30" s="2" t="n">
        <x:f>O30-P28</x:f>
        <x:v>340</x:v>
      </x:c>
      <x:c r="Q30" s="2" t="n">
        <x:f>P30-Q28</x:f>
        <x:v>330</x:v>
      </x:c>
      <x:c r="R30" s="2" t="n">
        <x:f>Q30-R28</x:f>
        <x:v>320</x:v>
      </x:c>
      <x:c r="S30" s="2" t="n">
        <x:f>R30-S28</x:f>
        <x:v>310</x:v>
      </x:c>
      <x:c r="T30" s="2" t="n">
        <x:f>S30-T28</x:f>
        <x:v>300</x:v>
      </x:c>
      <x:c r="U30" s="2" t="n">
        <x:f>T30-U28</x:f>
        <x:v>290</x:v>
      </x:c>
      <x:c r="V30" s="2" t="n">
        <x:f>U30-V28</x:f>
        <x:v>280</x:v>
      </x:c>
      <x:c r="W30" s="2" t="n">
        <x:f>V30-W28</x:f>
        <x:v>270</x:v>
      </x:c>
      <x:c r="X30" s="2" t="n">
        <x:f>W30-X28</x:f>
        <x:v>260</x:v>
      </x:c>
      <x:c r="Y30" s="2" t="n">
        <x:f>X30-Y28</x:f>
        <x:v>250</x:v>
      </x:c>
      <x:c r="Z30" s="2" t="n">
        <x:f>Y30-Z28</x:f>
        <x:v>240</x:v>
      </x:c>
      <x:c r="AA30" s="2" t="n">
        <x:f>Z30-AA28</x:f>
        <x:v>230</x:v>
      </x:c>
      <x:c r="AB30" s="2" t="n">
        <x:f>AA30-AB28</x:f>
        <x:v>220</x:v>
      </x:c>
      <x:c r="AC30" s="2" t="n">
        <x:f>AB30-AC28</x:f>
        <x:v>210</x:v>
      </x:c>
      <x:c r="AD30" s="2" t="n">
        <x:f>AC30-AD28</x:f>
        <x:v>200</x:v>
      </x:c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 ht="20" customHeight="1">
      <x:c r="A32" s="2"/>
      <x:c r="B32" s="2"/>
      <x:c r="C32" s="2" t="str">
        <x:v>Total net PP&amp;E</x:v>
      </x:c>
      <x:c r="D32" s="2" t="n">
        <x:f>N32</x:f>
        <x:v>476.0626284808635</x:v>
      </x:c>
      <x:c r="E32" s="2" t="n">
        <x:f>R32</x:f>
        <x:v>488.43618753808073</x:v>
      </x:c>
      <x:c r="F32" s="2" t="n">
        <x:f>V32</x:f>
        <x:v>490.74701263755685</x:v>
      </x:c>
      <x:c r="G32" s="2" t="n">
        <x:f>Z32</x:f>
        <x:v>480.9973796294078</x:v>
      </x:c>
      <x:c r="H32" s="2" t="n">
        <x:f>AD32</x:f>
        <x:v>466.7343814349262</x:v>
      </x:c>
      <x:c r="I32" s="2"/>
      <x:c r="J32" s="2"/>
      <x:c r="K32" s="2" t="n">
        <x:f>K14+K18+K22</x:f>
        <x:v>453.63051191666665</x:v>
      </x:c>
      <x:c r="L32" s="2" t="n">
        <x:f>L14+L18+L22</x:f>
        <x:v>460.5925355708333</x:v>
      </x:c>
      <x:c r="M32" s="2" t="n">
        <x:f>M14+M18+M22</x:f>
        <x:v>470.5613271582032</x:v>
      </x:c>
      <x:c r="N32" s="2" t="n">
        <x:f>N14+N18+N22</x:f>
        <x:v>476.0626284808635</x:v>
      </x:c>
      <x:c r="O32" s="2" t="n">
        <x:f>O14+O18+O22</x:f>
        <x:v>477.58538284038656</x:v>
      </x:c>
      <x:c r="P32" s="2" t="n">
        <x:f>P14+P18+P22</x:f>
        <x:v>480.6293357209703</x:v>
      </x:c>
      <x:c r="Q32" s="2" t="n">
        <x:f>Q14+Q18+Q22</x:f>
        <x:v>486.6456281820317</x:v>
      </x:c>
      <x:c r="R32" s="2" t="n">
        <x:f>R14+R18+R22</x:f>
        <x:v>488.43618753808073</x:v>
      </x:c>
      <x:c r="S32" s="2" t="n">
        <x:f>S14+S18+S22</x:f>
        <x:v>487.3284416445364</x:v>
      </x:c>
      <x:c r="T32" s="2" t="n">
        <x:f>T14+T18+T22</x:f>
        <x:v>487.82455099272687</x:v>
      </x:c>
      <x:c r="U32" s="2" t="n">
        <x:f>U14+U18+U22</x:f>
        <x:v>491.3629902808159</x:v>
      </x:c>
      <x:c r="V32" s="2" t="n">
        <x:f>V14+V18+V22</x:f>
        <x:v>490.74701263755685</x:v>
      </x:c>
      <x:c r="W32" s="2" t="n">
        <x:f>W14+W18+W22</x:f>
        <x:v>486.57075723667947</x:v>
      </x:c>
      <x:c r="X32" s="2" t="n">
        <x:f>X14+X18+X22</x:f>
        <x:v>484.0239093937044</x:v>
      </x:c>
      <x:c r="Y32" s="2" t="n">
        <x:f>Y14+Y18+Y22</x:f>
        <x:v>484.4849481792518</x:v>
      </x:c>
      <x:c r="Z32" s="2" t="n">
        <x:f>Z14+Z18+Z22</x:f>
        <x:v>480.9973796294078</x:v>
      </x:c>
      <x:c r="AA32" s="2" t="n">
        <x:f>AA14+AA18+AA22</x:f>
        <x:v>475.5669670171198</x:v>
      </x:c>
      <x:c r="AB32" s="2" t="n">
        <x:f>AB14+AB18+AB22</x:f>
        <x:v>471.8700509105</x:v>
      </x:c>
      <x:c r="AC32" s="2" t="n">
        <x:f>AC14+AC18+AC22</x:f>
        <x:v>471.31642645804436</x:v>
      </x:c>
      <x:c r="AD32" s="2" t="n">
        <x:f>AD14+AD18+AD22</x:f>
        <x:v>466.7343814349262</x:v>
      </x:c>
    </x:row>
    <x:row r="33" ht="20" customHeight="1">
      <x:c r="A33" s="2"/>
      <x:c r="B33" s="2"/>
      <x:c r="C33" s="2" t="str">
        <x:v>Total net intangibles</x:v>
      </x:c>
      <x:c r="D33" s="2" t="n">
        <x:f>N33</x:f>
        <x:v>1299.2250000000001</x:v>
      </x:c>
      <x:c r="E33" s="2" t="n">
        <x:f>R33</x:f>
        <x:v>1207.6250000000002</x:v>
      </x:c>
      <x:c r="F33" s="2" t="n">
        <x:f>V33</x:f>
        <x:v>1116.0250000000003</x:v>
      </x:c>
      <x:c r="G33" s="2" t="n">
        <x:f>Z33</x:f>
        <x:v>1024.4250000000004</x:v>
      </x:c>
      <x:c r="H33" s="2" t="n">
        <x:f>AD33</x:f>
        <x:v>932.8250000000005</x:v>
      </x:c>
      <x:c r="I33" s="2"/>
      <x:c r="J33" s="2"/>
      <x:c r="K33" s="2" t="n">
        <x:f>K26+K30</x:f>
        <x:v>1367.9250000000002</x:v>
      </x:c>
      <x:c r="L33" s="2" t="n">
        <x:f>L26+L30</x:f>
        <x:v>1345.025</x:v>
      </x:c>
      <x:c r="M33" s="2" t="n">
        <x:f>M26+M30</x:f>
        <x:v>1322.125</x:v>
      </x:c>
      <x:c r="N33" s="2" t="n">
        <x:f>N26+N30</x:f>
        <x:v>1299.2250000000001</x:v>
      </x:c>
      <x:c r="O33" s="2" t="n">
        <x:f>O26+O30</x:f>
        <x:v>1276.3250000000003</x:v>
      </x:c>
      <x:c r="P33" s="2" t="n">
        <x:f>P26+P30</x:f>
        <x:v>1253.4250000000002</x:v>
      </x:c>
      <x:c r="Q33" s="2" t="n">
        <x:f>Q26+Q30</x:f>
        <x:v>1230.525</x:v>
      </x:c>
      <x:c r="R33" s="2" t="n">
        <x:f>R26+R30</x:f>
        <x:v>1207.6250000000002</x:v>
      </x:c>
      <x:c r="S33" s="2" t="n">
        <x:f>S26+S30</x:f>
        <x:v>1184.7250000000004</x:v>
      </x:c>
      <x:c r="T33" s="2" t="n">
        <x:f>T26+T30</x:f>
        <x:v>1161.8250000000003</x:v>
      </x:c>
      <x:c r="U33" s="2" t="n">
        <x:f>U26+U30</x:f>
        <x:v>1138.9250000000002</x:v>
      </x:c>
      <x:c r="V33" s="2" t="n">
        <x:f>V26+V30</x:f>
        <x:v>1116.0250000000003</x:v>
      </x:c>
      <x:c r="W33" s="2" t="n">
        <x:f>W26+W30</x:f>
        <x:v>1093.1250000000005</x:v>
      </x:c>
      <x:c r="X33" s="2" t="n">
        <x:f>X26+X30</x:f>
        <x:v>1070.2250000000004</x:v>
      </x:c>
      <x:c r="Y33" s="2" t="n">
        <x:f>Y26+Y30</x:f>
        <x:v>1047.3250000000003</x:v>
      </x:c>
      <x:c r="Z33" s="2" t="n">
        <x:f>Z26+Z30</x:f>
        <x:v>1024.4250000000004</x:v>
      </x:c>
      <x:c r="AA33" s="2" t="n">
        <x:f>AA26+AA30</x:f>
        <x:v>1001.5250000000004</x:v>
      </x:c>
      <x:c r="AB33" s="2" t="n">
        <x:f>AB26+AB30</x:f>
        <x:v>978.6250000000005</x:v>
      </x:c>
      <x:c r="AC33" s="2" t="n">
        <x:f>AC26+AC30</x:f>
        <x:v>955.7250000000005</x:v>
      </x:c>
      <x:c r="AD33" s="2" t="n">
        <x:f>AD26+AD30</x:f>
        <x:v>932.8250000000005</x:v>
      </x:c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 ht="32" customHeight="1">
      <x:c r="A36" s="2"/>
      <x:c r="B36" s="2"/>
      <x:c r="C36" s="13" t="str">
        <x:v>Legacy PP&amp;E uses straight-line runoff. New capex uses an 8-year declining-balance proxy with one-quarter lag.</x:v>
      </x:c>
      <x:c r="D36" s="13"/>
      <x:c r="E36" s="13"/>
      <x:c r="F36" s="13"/>
      <x:c r="G36" s="13"/>
      <x:c r="H36" s="13"/>
      <x:c r="I36" s="13"/>
      <x:c r="J36" s="13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 ht="32" customHeight="1">
      <x:c r="A38" s="2"/>
      <x:c r="B38" s="2"/>
      <x:c r="C38" s="13" t="str">
        <x:v>Legacy amortization uses the disclosed FY2026 $51.6m estimate as an assumed annual run rate; indefinite-lived assets remain.</x:v>
      </x:c>
      <x:c r="D38" s="13"/>
      <x:c r="E38" s="13"/>
      <x:c r="F38" s="13"/>
      <x:c r="G38" s="13"/>
      <x:c r="H38" s="13"/>
      <x:c r="I38" s="13"/>
      <x:c r="J38" s="13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</x:sheetData>
  <x:mergeCells>
    <x:mergeCell ref="C36:J36"/>
    <x:mergeCell ref="C38:J3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Taxes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 s="8" t="n">
        <x:v>2026</x:v>
      </x:c>
      <x:c r="E8" s="8" t="n">
        <x:v>2027</x:v>
      </x:c>
      <x:c r="F8" s="8" t="n">
        <x:v>2028</x:v>
      </x:c>
      <x:c r="G8" s="8" t="n">
        <x:v>2029</x:v>
      </x:c>
      <x:c r="H8" s="8" t="n">
        <x:v>2030</x:v>
      </x:c>
      <x:c r="I8" s="2"/>
      <x:c r="J8" s="2"/>
      <x:c r="K8" s="11" t="n">
        <x:v>46112</x:v>
      </x:c>
      <x:c r="L8" s="11" t="n">
        <x:v>46203</x:v>
      </x:c>
      <x:c r="M8" s="11" t="n">
        <x:v>46295</x:v>
      </x:c>
      <x:c r="N8" s="11" t="n">
        <x:v>46387</x:v>
      </x:c>
      <x:c r="O8" s="11" t="n">
        <x:v>46477</x:v>
      </x:c>
      <x:c r="P8" s="11" t="n">
        <x:v>46568</x:v>
      </x:c>
      <x:c r="Q8" s="11" t="n">
        <x:v>46660</x:v>
      </x:c>
      <x:c r="R8" s="11" t="n">
        <x:v>46752</x:v>
      </x:c>
      <x:c r="S8" s="11" t="n">
        <x:v>46843</x:v>
      </x:c>
      <x:c r="T8" s="11" t="n">
        <x:v>46934</x:v>
      </x:c>
      <x:c r="U8" s="11" t="n">
        <x:v>47026</x:v>
      </x:c>
      <x:c r="V8" s="11" t="n">
        <x:v>47118</x:v>
      </x:c>
      <x:c r="W8" s="11" t="n">
        <x:v>47208</x:v>
      </x:c>
      <x:c r="X8" s="11" t="n">
        <x:v>47299</x:v>
      </x:c>
      <x:c r="Y8" s="11" t="n">
        <x:v>47391</x:v>
      </x:c>
      <x:c r="Z8" s="11" t="n">
        <x:v>47483</x:v>
      </x:c>
      <x:c r="AA8" s="11" t="n">
        <x:v>47573</x:v>
      </x:c>
      <x:c r="AB8" s="11" t="n">
        <x:v>47664</x:v>
      </x:c>
      <x:c r="AC8" s="11" t="n">
        <x:v>47756</x:v>
      </x:c>
      <x:c r="AD8" s="11" t="n">
        <x:v>47848</x:v>
      </x:c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Opening interest carryforward</x:v>
      </x:c>
      <x:c r="D10" s="2" t="n">
        <x:f>K10</x:f>
        <x:v>0</x:v>
      </x:c>
      <x:c r="E10" s="2" t="n">
        <x:f>O10</x:f>
        <x:v>63.49530893334719</x:v>
      </x:c>
      <x:c r="F10" s="2" t="n">
        <x:f>S10</x:f>
        <x:v>108.56666766629519</x:v>
      </x:c>
      <x:c r="G10" s="2" t="n">
        <x:f>W10</x:f>
        <x:v>124.92810760690026</x:v>
      </x:c>
      <x:c r="H10" s="2" t="n">
        <x:f>AA10</x:f>
        <x:v>111.90974222407976</x:v>
      </x:c>
      <x:c r="I10" s="2"/>
      <x:c r="J10" s="2"/>
      <x:c r="K10" s="2" t="n">
        <x:f>0</x:f>
        <x:v>0</x:v>
      </x:c>
      <x:c r="L10" s="2" t="n">
        <x:f>K14</x:f>
        <x:v>23.492177338623787</x:v>
      </x:c>
      <x:c r="M10" s="2" t="n">
        <x:f>L14</x:f>
        <x:v>40.73880032187369</x:v>
      </x:c>
      <x:c r="N10" s="2" t="n">
        <x:f>M14</x:f>
        <x:v>46.944625635748224</x:v>
      </x:c>
      <x:c r="O10" s="2" t="n">
        <x:f>N14</x:f>
        <x:v>63.49530893334719</x:v>
      </x:c>
      <x:c r="P10" s="2" t="n">
        <x:f>O14</x:f>
        <x:v>83.05864706184104</x:v>
      </x:c>
      <x:c r="Q10" s="2" t="n">
        <x:f>P14</x:f>
        <x:v>95.67640258771158</x:v>
      </x:c>
      <x:c r="R10" s="2" t="n">
        <x:f>Q14</x:f>
        <x:v>96.88691613706126</x:v>
      </x:c>
      <x:c r="S10" s="2" t="n">
        <x:f>R14</x:f>
        <x:v>108.56666766629519</x:v>
      </x:c>
      <x:c r="T10" s="2" t="n">
        <x:f>S14</x:f>
        <x:v>122.1560795776167</x:v>
      </x:c>
      <x:c r="U10" s="2" t="n">
        <x:f>T14</x:f>
        <x:v>127.5829861687977</x:v>
      </x:c>
      <x:c r="V10" s="2" t="n">
        <x:f>U14</x:f>
        <x:v>120.89666883838808</x:v>
      </x:c>
      <x:c r="W10" s="2" t="n">
        <x:f>V14</x:f>
        <x:v>124.92810760690026</x:v>
      </x:c>
      <x:c r="X10" s="2" t="n">
        <x:f>W14</x:f>
        <x:v>131.45547449613593</x:v>
      </x:c>
      <x:c r="Y10" s="2" t="n">
        <x:f>X14</x:f>
        <x:v>129.9504162038103</x:v>
      </x:c>
      <x:c r="Z10" s="2" t="n">
        <x:f>Y14</x:f>
        <x:v>115.4355369073383</x:v>
      </x:c>
      <x:c r="AA10" s="2" t="n">
        <x:f>Z14</x:f>
        <x:v>111.90974222407976</x:v>
      </x:c>
      <x:c r="AB10" s="2" t="n">
        <x:f>AA14</x:f>
        <x:v>110.86788809952746</x:v>
      </x:c>
      <x:c r="AC10" s="2" t="n">
        <x:f>AB14</x:f>
        <x:v>101.36308955291705</x:v>
      </x:c>
      <x:c r="AD10" s="2" t="n">
        <x:f>AC14</x:f>
        <x:v>78.01331369395547</x:v>
      </x:c>
    </x:row>
    <x:row r="11" ht="20" customHeight="1">
      <x:c r="A11" s="2"/>
      <x:c r="B11" s="2"/>
      <x:c r="C11" s="2" t="str">
        <x:v>Current cash financing expense</x:v>
      </x:c>
      <x:c r="D11" s="2" t="n">
        <x:f>SUM(K11:N11)</x:f>
        <x:v>215.47799317017245</x:v>
      </x:c>
      <x:c r="E11" s="2" t="n">
        <x:f>SUM(O11:R11)</x:f>
        <x:v>200.84106154367163</x:v>
      </x:c>
      <x:c r="F11" s="2" t="n">
        <x:f>SUM(S11:V11)</x:f>
        <x:v>183.64182221755038</x:v>
      </x:c>
      <x:c r="G11" s="2" t="n">
        <x:f>SUM(W11:Z11)</x:f>
        <x:v>166.31627849469217</x:v>
      </x:c>
      <x:c r="H11" s="2" t="n">
        <x:f>SUM(AA11:AD11)</x:f>
        <x:v>146.00445604740707</x:v>
      </x:c>
      <x:c r="I11" s="2"/>
      <x:c r="J11" s="2"/>
      <x:c r="K11" s="9" t="n">
        <x:f>'Debt Schedule'!K22</x:f>
        <x:v>53.33946250000001</x:v>
      </x:c>
      <x:c r="L11" s="9" t="n">
        <x:f>'Debt Schedule'!L22</x:f>
        <x:v>53.621148164603106</x:v>
      </x:c>
      <x:c r="M11" s="9" t="n">
        <x:f>'Debt Schedule'!M22</x:f>
        <x:v>54.261249636917555</x:v>
      </x:c>
      <x:c r="N11" s="9" t="n">
        <x:f>'Debt Schedule'!N22</x:f>
        <x:v>54.25613286865178</x:v>
      </x:c>
      <x:c r="O11" s="9" t="n">
        <x:f>'Debt Schedule'!O22</x:f>
        <x:v>50.21454660457247</x:v>
      </x:c>
      <x:c r="P11" s="9" t="n">
        <x:f>'Debt Schedule'!P22</x:f>
        <x:v>49.94223056878396</x:v>
      </x:c>
      <x:c r="Q11" s="9" t="n">
        <x:f>'Debt Schedule'!Q22</x:f>
        <x:v>50.414494708456125</x:v>
      </x:c>
      <x:c r="R11" s="9" t="n">
        <x:f>'Debt Schedule'!R22</x:f>
        <x:v>50.269789661859065</x:v>
      </x:c>
      <x:c r="S11" s="9" t="n">
        <x:f>'Debt Schedule'!S22</x:f>
        <x:v>46.75925592758057</x:v>
      </x:c>
      <x:c r="T11" s="9" t="n">
        <x:f>'Debt Schedule'!T22</x:f>
        <x:v>45.57945856485803</x:v>
      </x:c>
      <x:c r="U11" s="9" t="n">
        <x:f>'Debt Schedule'!U22</x:f>
        <x:v>45.856179665245485</x:v>
      </x:c>
      <x:c r="V11" s="9" t="n">
        <x:f>'Debt Schedule'!V22</x:f>
        <x:v>45.4469280598663</x:v>
      </x:c>
      <x:c r="W11" s="9" t="n">
        <x:f>'Debt Schedule'!W22</x:f>
        <x:v>42.33800235831927</x:v>
      </x:c>
      <x:c r="X11" s="9" t="n">
        <x:f>'Debt Schedule'!X22</x:f>
        <x:v>41.61062583531142</x:v>
      </x:c>
      <x:c r="Y11" s="9" t="n">
        <x:f>'Debt Schedule'!Y22</x:f>
        <x:v>41.52051679869481</x:v>
      </x:c>
      <x:c r="Z11" s="9" t="n">
        <x:f>'Debt Schedule'!Z22</x:f>
        <x:v>40.84713350236667</x:v>
      </x:c>
      <x:c r="AA11" s="9" t="n">
        <x:f>'Debt Schedule'!AA22</x:f>
        <x:v>37.53685597893187</x:v>
      </x:c>
      <x:c r="AB11" s="9" t="n">
        <x:f>'Debt Schedule'!AB22</x:f>
        <x:v>36.71470819732653</x:v>
      </x:c>
      <x:c r="AC11" s="9" t="n">
        <x:f>'Debt Schedule'!AC22</x:f>
        <x:v>36.339214665798174</x:v>
      </x:c>
      <x:c r="AD11" s="9" t="n">
        <x:f>'Debt Schedule'!AD22</x:f>
        <x:v>35.41367720535048</x:v>
      </x:c>
    </x:row>
    <x:row r="12" ht="20" customHeight="1">
      <x:c r="A12" s="2"/>
      <x:c r="B12" s="2"/>
      <x:c r="C12" s="2" t="str">
        <x:v>EBITDA interest-deduction capacity</x:v>
      </x:c>
      <x:c r="D12" s="2" t="n">
        <x:f>SUM(K12:N12)</x:f>
        <x:v>151.98268423682526</x:v>
      </x:c>
      <x:c r="E12" s="2" t="n">
        <x:f>SUM(O12:R12)</x:f>
        <x:v>155.7697028107236</x:v>
      </x:c>
      <x:c r="F12" s="2" t="n">
        <x:f>SUM(S12:V12)</x:f>
        <x:v>167.28038227694532</x:v>
      </x:c>
      <x:c r="G12" s="2" t="n">
        <x:f>SUM(W12:Z12)</x:f>
        <x:v>179.33464387751266</x:v>
      </x:c>
      <x:c r="H12" s="2" t="n">
        <x:f>SUM(AA12:AD12)</x:f>
        <x:v>191.9549487480948</x:v>
      </x:c>
      <x:c r="I12" s="2"/>
      <x:c r="J12" s="2"/>
      <x:c r="K12" s="9" t="n">
        <x:f>MAX(0,'Operating Case'!K28)*'Assumptions'!D35</x:f>
        <x:v>29.847285161376224</x:v>
      </x:c>
      <x:c r="L12" s="9" t="n">
        <x:f>MAX(0,'Operating Case'!L28)*'Assumptions'!D35</x:f>
        <x:v>36.3745251813532</x:v>
      </x:c>
      <x:c r="M12" s="9" t="n">
        <x:f>MAX(0,'Operating Case'!M28)*'Assumptions'!D35</x:f>
        <x:v>48.05542432304301</x:v>
      </x:c>
      <x:c r="N12" s="9" t="n">
        <x:f>MAX(0,'Operating Case'!N28)*'Assumptions'!D35</x:f>
        <x:v>37.70544957105281</x:v>
      </x:c>
      <x:c r="O12" s="9" t="n">
        <x:f>MAX(0,'Operating Case'!O28)*'Assumptions'!D35</x:f>
        <x:v>30.6512084760786</x:v>
      </x:c>
      <x:c r="P12" s="9" t="n">
        <x:f>MAX(0,'Operating Case'!P28)*'Assumptions'!D35</x:f>
        <x:v>37.32447504291344</x:v>
      </x:c>
      <x:c r="Q12" s="9" t="n">
        <x:f>MAX(0,'Operating Case'!Q28)*'Assumptions'!D35</x:f>
        <x:v>49.20398115910644</x:v>
      </x:c>
      <x:c r="R12" s="9" t="n">
        <x:f>MAX(0,'Operating Case'!R28)*'Assumptions'!D35</x:f>
        <x:v>38.59003813262512</x:v>
      </x:c>
      <x:c r="S12" s="9" t="n">
        <x:f>MAX(0,'Operating Case'!S28)*'Assumptions'!D35</x:f>
        <x:v>33.16984401625906</x:v>
      </x:c>
      <x:c r="T12" s="9" t="n">
        <x:f>MAX(0,'Operating Case'!T28)*'Assumptions'!D35</x:f>
        <x:v>40.15255197367702</x:v>
      </x:c>
      <x:c r="U12" s="9" t="n">
        <x:f>MAX(0,'Operating Case'!U28)*'Assumptions'!D35</x:f>
        <x:v>52.542496995655114</x:v>
      </x:c>
      <x:c r="V12" s="9" t="n">
        <x:f>MAX(0,'Operating Case'!V28)*'Assumptions'!D35</x:f>
        <x:v>41.415489291354135</x:v>
      </x:c>
      <x:c r="W12" s="9" t="n">
        <x:f>MAX(0,'Operating Case'!W28)*'Assumptions'!D35</x:f>
        <x:v>35.81063546908361</x:v>
      </x:c>
      <x:c r="X12" s="9" t="n">
        <x:f>MAX(0,'Operating Case'!X28)*'Assumptions'!D35</x:f>
        <x:v>43.115684127637046</x:v>
      </x:c>
      <x:c r="Y12" s="9" t="n">
        <x:f>MAX(0,'Operating Case'!Y28)*'Assumptions'!D35</x:f>
        <x:v>56.03539609516681</x:v>
      </x:c>
      <x:c r="Z12" s="9" t="n">
        <x:f>MAX(0,'Operating Case'!Z28)*'Assumptions'!D35</x:f>
        <x:v>44.37292818562519</x:v>
      </x:c>
      <x:c r="AA12" s="9" t="n">
        <x:f>MAX(0,'Operating Case'!AA28)*'Assumptions'!D35</x:f>
        <x:v>38.57871010348417</x:v>
      </x:c>
      <x:c r="AB12" s="9" t="n">
        <x:f>MAX(0,'Operating Case'!AB28)*'Assumptions'!D35</x:f>
        <x:v>46.21950674393694</x:v>
      </x:c>
      <x:c r="AC12" s="9" t="n">
        <x:f>MAX(0,'Operating Case'!AC28)*'Assumptions'!D35</x:f>
        <x:v>59.68899052475976</x:v>
      </x:c>
      <x:c r="AD12" s="9" t="n">
        <x:f>MAX(0,'Operating Case'!AD28)*'Assumptions'!D35</x:f>
        <x:v>47.46774137591394</x:v>
      </x:c>
    </x:row>
    <x:row r="13" ht="20" customHeight="1">
      <x:c r="A13" s="2"/>
      <x:c r="B13" s="2"/>
      <x:c r="C13" s="2" t="str">
        <x:v>Interest deduction</x:v>
      </x:c>
      <x:c r="D13" s="2" t="n">
        <x:f>SUM(K13:N13)</x:f>
        <x:v>151.98268423682526</x:v>
      </x:c>
      <x:c r="E13" s="2" t="n">
        <x:f>SUM(O13:R13)</x:f>
        <x:v>155.7697028107236</x:v>
      </x:c>
      <x:c r="F13" s="2" t="n">
        <x:f>SUM(S13:V13)</x:f>
        <x:v>167.28038227694532</x:v>
      </x:c>
      <x:c r="G13" s="2" t="n">
        <x:f>SUM(W13:Z13)</x:f>
        <x:v>179.33464387751266</x:v>
      </x:c>
      <x:c r="H13" s="2" t="n">
        <x:f>SUM(AA13:AD13)</x:f>
        <x:v>191.9549487480948</x:v>
      </x:c>
      <x:c r="I13" s="2"/>
      <x:c r="J13" s="2"/>
      <x:c r="K13" s="2" t="n">
        <x:f>MIN(K10+K11,K12)</x:f>
        <x:v>29.847285161376224</x:v>
      </x:c>
      <x:c r="L13" s="2" t="n">
        <x:f>MIN(L10+L11,L12)</x:f>
        <x:v>36.3745251813532</x:v>
      </x:c>
      <x:c r="M13" s="2" t="n">
        <x:f>MIN(M10+M11,M12)</x:f>
        <x:v>48.05542432304301</x:v>
      </x:c>
      <x:c r="N13" s="2" t="n">
        <x:f>MIN(N10+N11,N12)</x:f>
        <x:v>37.70544957105281</x:v>
      </x:c>
      <x:c r="O13" s="2" t="n">
        <x:f>MIN(O10+O11,O12)</x:f>
        <x:v>30.6512084760786</x:v>
      </x:c>
      <x:c r="P13" s="2" t="n">
        <x:f>MIN(P10+P11,P12)</x:f>
        <x:v>37.32447504291344</x:v>
      </x:c>
      <x:c r="Q13" s="2" t="n">
        <x:f>MIN(Q10+Q11,Q12)</x:f>
        <x:v>49.20398115910644</x:v>
      </x:c>
      <x:c r="R13" s="2" t="n">
        <x:f>MIN(R10+R11,R12)</x:f>
        <x:v>38.59003813262512</x:v>
      </x:c>
      <x:c r="S13" s="2" t="n">
        <x:f>MIN(S10+S11,S12)</x:f>
        <x:v>33.16984401625906</x:v>
      </x:c>
      <x:c r="T13" s="2" t="n">
        <x:f>MIN(T10+T11,T12)</x:f>
        <x:v>40.15255197367702</x:v>
      </x:c>
      <x:c r="U13" s="2" t="n">
        <x:f>MIN(U10+U11,U12)</x:f>
        <x:v>52.542496995655114</x:v>
      </x:c>
      <x:c r="V13" s="2" t="n">
        <x:f>MIN(V10+V11,V12)</x:f>
        <x:v>41.415489291354135</x:v>
      </x:c>
      <x:c r="W13" s="2" t="n">
        <x:f>MIN(W10+W11,W12)</x:f>
        <x:v>35.81063546908361</x:v>
      </x:c>
      <x:c r="X13" s="2" t="n">
        <x:f>MIN(X10+X11,X12)</x:f>
        <x:v>43.115684127637046</x:v>
      </x:c>
      <x:c r="Y13" s="2" t="n">
        <x:f>MIN(Y10+Y11,Y12)</x:f>
        <x:v>56.03539609516681</x:v>
      </x:c>
      <x:c r="Z13" s="2" t="n">
        <x:f>MIN(Z10+Z11,Z12)</x:f>
        <x:v>44.37292818562519</x:v>
      </x:c>
      <x:c r="AA13" s="2" t="n">
        <x:f>MIN(AA10+AA11,AA12)</x:f>
        <x:v>38.57871010348417</x:v>
      </x:c>
      <x:c r="AB13" s="2" t="n">
        <x:f>MIN(AB10+AB11,AB12)</x:f>
        <x:v>46.21950674393694</x:v>
      </x:c>
      <x:c r="AC13" s="2" t="n">
        <x:f>MIN(AC10+AC11,AC12)</x:f>
        <x:v>59.68899052475976</x:v>
      </x:c>
      <x:c r="AD13" s="2" t="n">
        <x:f>MIN(AD10+AD11,AD12)</x:f>
        <x:v>47.46774137591394</x:v>
      </x:c>
    </x:row>
    <x:row r="14" ht="20" customHeight="1">
      <x:c r="A14" s="2"/>
      <x:c r="B14" s="2"/>
      <x:c r="C14" s="2" t="str">
        <x:v>Closing interest carryforward</x:v>
      </x:c>
      <x:c r="D14" s="2" t="n">
        <x:f>N14</x:f>
        <x:v>63.49530893334719</x:v>
      </x:c>
      <x:c r="E14" s="2" t="n">
        <x:f>R14</x:f>
        <x:v>108.56666766629519</x:v>
      </x:c>
      <x:c r="F14" s="2" t="n">
        <x:f>V14</x:f>
        <x:v>124.92810760690026</x:v>
      </x:c>
      <x:c r="G14" s="2" t="n">
        <x:f>Z14</x:f>
        <x:v>111.90974222407976</x:v>
      </x:c>
      <x:c r="H14" s="2" t="n">
        <x:f>AD14</x:f>
        <x:v>65.959249523392</x:v>
      </x:c>
      <x:c r="I14" s="2"/>
      <x:c r="J14" s="2"/>
      <x:c r="K14" s="2" t="n">
        <x:f>K10+K11-K13</x:f>
        <x:v>23.492177338623787</x:v>
      </x:c>
      <x:c r="L14" s="2" t="n">
        <x:f>L10+L11-L13</x:f>
        <x:v>40.73880032187369</x:v>
      </x:c>
      <x:c r="M14" s="2" t="n">
        <x:f>M10+M11-M13</x:f>
        <x:v>46.944625635748224</x:v>
      </x:c>
      <x:c r="N14" s="2" t="n">
        <x:f>N10+N11-N13</x:f>
        <x:v>63.49530893334719</x:v>
      </x:c>
      <x:c r="O14" s="2" t="n">
        <x:f>O10+O11-O13</x:f>
        <x:v>83.05864706184104</x:v>
      </x:c>
      <x:c r="P14" s="2" t="n">
        <x:f>P10+P11-P13</x:f>
        <x:v>95.67640258771158</x:v>
      </x:c>
      <x:c r="Q14" s="2" t="n">
        <x:f>Q10+Q11-Q13</x:f>
        <x:v>96.88691613706126</x:v>
      </x:c>
      <x:c r="R14" s="2" t="n">
        <x:f>R10+R11-R13</x:f>
        <x:v>108.56666766629519</x:v>
      </x:c>
      <x:c r="S14" s="2" t="n">
        <x:f>S10+S11-S13</x:f>
        <x:v>122.1560795776167</x:v>
      </x:c>
      <x:c r="T14" s="2" t="n">
        <x:f>T10+T11-T13</x:f>
        <x:v>127.5829861687977</x:v>
      </x:c>
      <x:c r="U14" s="2" t="n">
        <x:f>U10+U11-U13</x:f>
        <x:v>120.89666883838808</x:v>
      </x:c>
      <x:c r="V14" s="2" t="n">
        <x:f>V10+V11-V13</x:f>
        <x:v>124.92810760690026</x:v>
      </x:c>
      <x:c r="W14" s="2" t="n">
        <x:f>W10+W11-W13</x:f>
        <x:v>131.45547449613593</x:v>
      </x:c>
      <x:c r="X14" s="2" t="n">
        <x:f>X10+X11-X13</x:f>
        <x:v>129.9504162038103</x:v>
      </x:c>
      <x:c r="Y14" s="2" t="n">
        <x:f>Y10+Y11-Y13</x:f>
        <x:v>115.4355369073383</x:v>
      </x:c>
      <x:c r="Z14" s="2" t="n">
        <x:f>Z10+Z11-Z13</x:f>
        <x:v>111.90974222407976</x:v>
      </x:c>
      <x:c r="AA14" s="2" t="n">
        <x:f>AA10+AA11-AA13</x:f>
        <x:v>110.86788809952746</x:v>
      </x:c>
      <x:c r="AB14" s="2" t="n">
        <x:f>AB10+AB11-AB13</x:f>
        <x:v>101.36308955291705</x:v>
      </x:c>
      <x:c r="AC14" s="2" t="n">
        <x:f>AC10+AC11-AC13</x:f>
        <x:v>78.01331369395547</x:v>
      </x:c>
      <x:c r="AD14" s="2" t="n">
        <x:f>AD10+AD11-AD13</x:f>
        <x:v>65.959249523392</x:v>
      </x:c>
    </x:row>
    <x:row r="15" ht="20" customHeight="1">
      <x:c r="A15" s="2"/>
      <x:c r="B15" s="2"/>
      <x:c r="C15" s="2" t="str">
        <x:v>Taxable income before NOL</x:v>
      </x:c>
      <x:c r="D15" s="2" t="n">
        <x:f>SUM(K15:N15)</x:f>
        <x:v>230.3650256001224</x:v>
      </x:c>
      <x:c r="E15" s="2" t="n">
        <x:f>SUM(O15:R15)</x:f>
        <x:v>227.44858402530556</x:v>
      </x:c>
      <x:c r="F15" s="2" t="n">
        <x:f>SUM(S15:V15)</x:f>
        <x:v>244.2403977204924</x:v>
      </x:c>
      <x:c r="G15" s="2" t="n">
        <x:f>SUM(W15:Z15)</x:f>
        <x:v>263.64915529917977</x:v>
      </x:c>
      <x:c r="H15" s="2" t="n">
        <x:f>SUM(AA15:AD15)</x:f>
        <x:v>285.5333761461252</x:v>
      </x:c>
      <x:c r="I15" s="2"/>
      <x:c r="J15" s="2"/>
      <x:c r="K15" s="9" t="n">
        <x:f>'Operating Case'!K28-'Capex &amp; DA'!K13-'Capex &amp; DA'!K17-'Capex &amp; DA'!K25-K13</x:f>
        <x:v>39.7376132932112</x:v>
      </x:c>
      <x:c r="L15" s="9" t="n">
        <x:f>'Operating Case'!L28-'Capex &amp; DA'!L13-'Capex &amp; DA'!L17-'Capex &amp; DA'!L25-L13</x:f>
        <x:v>54.233736443990814</x:v>
      </x:c>
      <x:c r="M15" s="9" t="n">
        <x:f>'Operating Case'!M28-'Capex &amp; DA'!M13-'Capex &amp; DA'!M17-'Capex &amp; DA'!M25-M13</x:f>
        <x:v>80.70891540780349</x:v>
      </x:c>
      <x:c r="N15" s="9" t="n">
        <x:f>'Operating Case'!N28-'Capex &amp; DA'!N13-'Capex &amp; DA'!N17-'Capex &amp; DA'!N25-N13</x:f>
        <x:v>55.68476045511689</x:v>
      </x:c>
      <x:c r="O15" s="9" t="n">
        <x:f>'Operating Case'!O28-'Capex &amp; DA'!O13-'Capex &amp; DA'!O17-'Capex &amp; DA'!O25-O13</x:f>
        <x:v>38.49025977290642</x:v>
      </x:c>
      <x:c r="P15" s="9" t="n">
        <x:f>'Operating Case'!P28-'Capex &amp; DA'!P13-'Capex &amp; DA'!P17-'Capex &amp; DA'!P25-P13</x:f>
        <x:v>53.45093989418179</x:v>
      </x:c>
      <x:c r="Q15" s="9" t="n">
        <x:f>'Operating Case'!Q28-'Capex &amp; DA'!Q13-'Capex &amp; DA'!Q17-'Capex &amp; DA'!Q25-Q13</x:f>
        <x:v>80.5119748435097</x:v>
      </x:c>
      <x:c r="R15" s="9" t="n">
        <x:f>'Operating Case'!R28-'Capex &amp; DA'!R13-'Capex &amp; DA'!R17-'Capex &amp; DA'!R25-R13</x:f>
        <x:v>54.995409514707625</x:v>
      </x:c>
      <x:c r="S15" s="9" t="n">
        <x:f>'Operating Case'!S28-'Capex &amp; DA'!S13-'Capex &amp; DA'!S17-'Capex &amp; DA'!S25-S13</x:f>
        <x:v>41.72964580237279</x:v>
      </x:c>
      <x:c r="T15" s="9" t="n">
        <x:f>'Operating Case'!T28-'Capex &amp; DA'!T13-'Capex &amp; DA'!T17-'Capex &amp; DA'!T25-T13</x:f>
        <x:v>57.49455896791713</x:v>
      </x:c>
      <x:c r="U15" s="9" t="n">
        <x:f>'Operating Case'!U28-'Capex &amp; DA'!U13-'Capex &amp; DA'!U17-'Capex &amp; DA'!U25-U13</x:f>
        <x:v>85.82623814113086</x:v>
      </x:c>
      <x:c r="V15" s="9" t="n">
        <x:f>'Operating Case'!V28-'Capex &amp; DA'!V13-'Capex &amp; DA'!V17-'Capex &amp; DA'!V25-V13</x:f>
        <x:v>59.189954809071665</x:v>
      </x:c>
      <x:c r="W15" s="9" t="n">
        <x:f>'Operating Case'!W28-'Capex &amp; DA'!W13-'Capex &amp; DA'!W17-'Capex &amp; DA'!W25-W13</x:f>
        <x:v>45.56852273085477</x:v>
      </x:c>
      <x:c r="X15" s="9" t="n">
        <x:f>'Operating Case'!X28-'Capex &amp; DA'!X13-'Capex &amp; DA'!X17-'Capex &amp; DA'!X25-X13</x:f>
        <x:v>62.181455121152716</x:v>
      </x:c>
      <x:c r="Y15" s="9" t="n">
        <x:f>'Operating Case'!Y28-'Capex &amp; DA'!Y13-'Capex &amp; DA'!Y17-'Capex &amp; DA'!Y25-Y13</x:f>
        <x:v>91.84434957954429</x:v>
      </x:c>
      <x:c r="Z15" s="9" t="n">
        <x:f>'Operating Case'!Z28-'Capex &amp; DA'!Z13-'Capex &amp; DA'!Z17-'Capex &amp; DA'!Z25-Z13</x:f>
        <x:v>64.054827867628</x:v>
      </x:c>
      <x:c r="AA15" s="9" t="n">
        <x:f>'Operating Case'!AA28-'Capex &amp; DA'!AA13-'Capex &amp; DA'!AA17-'Capex &amp; DA'!AA25-AA13</x:f>
        <x:v>50.08128306554407</x:v>
      </x:c>
      <x:c r="AB15" s="9" t="n">
        <x:f>'Operating Case'!AB28-'Capex &amp; DA'!AB13-'Capex &amp; DA'!AB17-'Capex &amp; DA'!AB25-AB13</x:f>
        <x:v>67.51681982646369</x:v>
      </x:c>
      <x:c r="AC15" s="9" t="n">
        <x:f>'Operating Case'!AC28-'Capex &amp; DA'!AC13-'Capex &amp; DA'!AC17-'Capex &amp; DA'!AC25-AC13</x:f>
        <x:v>98.49845481577799</x:v>
      </x:c>
      <x:c r="AD15" s="9" t="n">
        <x:f>'Operating Case'!AD28-'Capex &amp; DA'!AD13-'Capex &amp; DA'!AD17-'Capex &amp; DA'!AD25-AD13</x:f>
        <x:v>69.43681843833949</x:v>
      </x:c>
    </x:row>
    <x:row r="16" ht="20" customHeight="1">
      <x:c r="A16" s="2"/>
      <x:c r="B16" s="2"/>
      <x:c r="C16" s="2" t="str">
        <x:v>Opening NOL</x:v>
      </x:c>
      <x:c r="D16" s="2" t="n">
        <x:f>K16</x:f>
        <x:v>0</x:v>
      </x:c>
      <x:c r="E16" s="2" t="n">
        <x:f>O16</x:f>
        <x:v>0</x:v>
      </x:c>
      <x:c r="F16" s="2" t="n">
        <x:f>S16</x:f>
        <x:v>0</x:v>
      </x:c>
      <x:c r="G16" s="2" t="n">
        <x:f>W16</x:f>
        <x:v>0</x:v>
      </x:c>
      <x:c r="H16" s="2" t="n">
        <x:f>AA16</x:f>
        <x:v>0</x:v>
      </x:c>
      <x:c r="I16" s="2"/>
      <x:c r="J16" s="2"/>
      <x:c r="K16" s="2" t="n">
        <x:f>0</x:f>
        <x:v>0</x:v>
      </x:c>
      <x:c r="L16" s="2" t="n">
        <x:f>K20</x:f>
        <x:v>0</x:v>
      </x:c>
      <x:c r="M16" s="2" t="n">
        <x:f>L20</x:f>
        <x:v>0</x:v>
      </x:c>
      <x:c r="N16" s="2" t="n">
        <x:f>M20</x:f>
        <x:v>0</x:v>
      </x:c>
      <x:c r="O16" s="2" t="n">
        <x:f>N20</x:f>
        <x:v>0</x:v>
      </x:c>
      <x:c r="P16" s="2" t="n">
        <x:f>O20</x:f>
        <x:v>0</x:v>
      </x:c>
      <x:c r="Q16" s="2" t="n">
        <x:f>P20</x:f>
        <x:v>0</x:v>
      </x:c>
      <x:c r="R16" s="2" t="n">
        <x:f>Q20</x:f>
        <x:v>0</x:v>
      </x:c>
      <x:c r="S16" s="2" t="n">
        <x:f>R20</x:f>
        <x:v>0</x:v>
      </x:c>
      <x:c r="T16" s="2" t="n">
        <x:f>S20</x:f>
        <x:v>0</x:v>
      </x:c>
      <x:c r="U16" s="2" t="n">
        <x:f>T20</x:f>
        <x:v>0</x:v>
      </x:c>
      <x:c r="V16" s="2" t="n">
        <x:f>U20</x:f>
        <x:v>0</x:v>
      </x:c>
      <x:c r="W16" s="2" t="n">
        <x:f>V20</x:f>
        <x:v>0</x:v>
      </x:c>
      <x:c r="X16" s="2" t="n">
        <x:f>W20</x:f>
        <x:v>0</x:v>
      </x:c>
      <x:c r="Y16" s="2" t="n">
        <x:f>X20</x:f>
        <x:v>0</x:v>
      </x:c>
      <x:c r="Z16" s="2" t="n">
        <x:f>Y20</x:f>
        <x:v>0</x:v>
      </x:c>
      <x:c r="AA16" s="2" t="n">
        <x:f>Z20</x:f>
        <x:v>0</x:v>
      </x:c>
      <x:c r="AB16" s="2" t="n">
        <x:f>AA20</x:f>
        <x:v>0</x:v>
      </x:c>
      <x:c r="AC16" s="2" t="n">
        <x:f>AB20</x:f>
        <x:v>0</x:v>
      </x:c>
      <x:c r="AD16" s="2" t="n">
        <x:f>AC20</x:f>
        <x:v>0</x:v>
      </x:c>
    </x:row>
    <x:row r="17" ht="20" customHeight="1">
      <x:c r="A17" s="2"/>
      <x:c r="B17" s="2"/>
      <x:c r="C17" s="2" t="str">
        <x:v>NOL utilized</x:v>
      </x:c>
      <x:c r="D17" s="2" t="n">
        <x:f>SUM(K17:N17)</x:f>
        <x:v>0</x:v>
      </x:c>
      <x:c r="E17" s="2" t="n">
        <x:f>SUM(O17:R17)</x:f>
        <x:v>0</x:v>
      </x:c>
      <x:c r="F17" s="2" t="n">
        <x:f>SUM(S17:V17)</x:f>
        <x:v>0</x:v>
      </x:c>
      <x:c r="G17" s="2" t="n">
        <x:f>SUM(W17:Z17)</x:f>
        <x:v>0</x:v>
      </x:c>
      <x:c r="H17" s="2" t="n">
        <x:f>SUM(AA17:AD17)</x:f>
        <x:v>0</x:v>
      </x:c>
      <x:c r="I17" s="2"/>
      <x:c r="J17" s="2"/>
      <x:c r="K17" s="9" t="n">
        <x:f>MIN(K16,MAX(0,K15)*'Assumptions'!D37)</x:f>
        <x:v>0</x:v>
      </x:c>
      <x:c r="L17" s="9" t="n">
        <x:f>MIN(L16,MAX(0,L15)*'Assumptions'!D37)</x:f>
        <x:v>0</x:v>
      </x:c>
      <x:c r="M17" s="9" t="n">
        <x:f>MIN(M16,MAX(0,M15)*'Assumptions'!D37)</x:f>
        <x:v>0</x:v>
      </x:c>
      <x:c r="N17" s="9" t="n">
        <x:f>MIN(N16,MAX(0,N15)*'Assumptions'!D37)</x:f>
        <x:v>0</x:v>
      </x:c>
      <x:c r="O17" s="9" t="n">
        <x:f>MIN(O16,MAX(0,O15)*'Assumptions'!D37)</x:f>
        <x:v>0</x:v>
      </x:c>
      <x:c r="P17" s="9" t="n">
        <x:f>MIN(P16,MAX(0,P15)*'Assumptions'!D37)</x:f>
        <x:v>0</x:v>
      </x:c>
      <x:c r="Q17" s="9" t="n">
        <x:f>MIN(Q16,MAX(0,Q15)*'Assumptions'!D37)</x:f>
        <x:v>0</x:v>
      </x:c>
      <x:c r="R17" s="9" t="n">
        <x:f>MIN(R16,MAX(0,R15)*'Assumptions'!D37)</x:f>
        <x:v>0</x:v>
      </x:c>
      <x:c r="S17" s="9" t="n">
        <x:f>MIN(S16,MAX(0,S15)*'Assumptions'!D37)</x:f>
        <x:v>0</x:v>
      </x:c>
      <x:c r="T17" s="9" t="n">
        <x:f>MIN(T16,MAX(0,T15)*'Assumptions'!D37)</x:f>
        <x:v>0</x:v>
      </x:c>
      <x:c r="U17" s="9" t="n">
        <x:f>MIN(U16,MAX(0,U15)*'Assumptions'!D37)</x:f>
        <x:v>0</x:v>
      </x:c>
      <x:c r="V17" s="9" t="n">
        <x:f>MIN(V16,MAX(0,V15)*'Assumptions'!D37)</x:f>
        <x:v>0</x:v>
      </x:c>
      <x:c r="W17" s="9" t="n">
        <x:f>MIN(W16,MAX(0,W15)*'Assumptions'!D37)</x:f>
        <x:v>0</x:v>
      </x:c>
      <x:c r="X17" s="9" t="n">
        <x:f>MIN(X16,MAX(0,X15)*'Assumptions'!D37)</x:f>
        <x:v>0</x:v>
      </x:c>
      <x:c r="Y17" s="9" t="n">
        <x:f>MIN(Y16,MAX(0,Y15)*'Assumptions'!D37)</x:f>
        <x:v>0</x:v>
      </x:c>
      <x:c r="Z17" s="9" t="n">
        <x:f>MIN(Z16,MAX(0,Z15)*'Assumptions'!D37)</x:f>
        <x:v>0</x:v>
      </x:c>
      <x:c r="AA17" s="9" t="n">
        <x:f>MIN(AA16,MAX(0,AA15)*'Assumptions'!D37)</x:f>
        <x:v>0</x:v>
      </x:c>
      <x:c r="AB17" s="9" t="n">
        <x:f>MIN(AB16,MAX(0,AB15)*'Assumptions'!D37)</x:f>
        <x:v>0</x:v>
      </x:c>
      <x:c r="AC17" s="9" t="n">
        <x:f>MIN(AC16,MAX(0,AC15)*'Assumptions'!D37)</x:f>
        <x:v>0</x:v>
      </x:c>
      <x:c r="AD17" s="9" t="n">
        <x:f>MIN(AD16,MAX(0,AD15)*'Assumptions'!D37)</x:f>
        <x:v>0</x:v>
      </x:c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0" customHeight="1">
      <x:c r="A19" s="2"/>
      <x:c r="B19" s="2"/>
      <x:c r="C19" s="2" t="str">
        <x:v>Cash taxes</x:v>
      </x:c>
      <x:c r="D19" s="2" t="n">
        <x:f>SUM(K19:N19)</x:f>
        <x:v>57.5912564000306</x:v>
      </x:c>
      <x:c r="E19" s="2" t="n">
        <x:f>SUM(O19:R19)</x:f>
        <x:v>56.86214600632639</x:v>
      </x:c>
      <x:c r="F19" s="2" t="n">
        <x:f>SUM(S19:V19)</x:f>
        <x:v>61.0600994301231</x:v>
      </x:c>
      <x:c r="G19" s="2" t="n">
        <x:f>SUM(W19:Z19)</x:f>
        <x:v>65.91228882479494</x:v>
      </x:c>
      <x:c r="H19" s="2" t="n">
        <x:f>SUM(AA19:AD19)</x:f>
        <x:v>71.3833440365313</x:v>
      </x:c>
      <x:c r="I19" s="2"/>
      <x:c r="J19" s="2"/>
      <x:c r="K19" s="9" t="n">
        <x:f>MAX(0,K15-K17)*'Assumptions'!D34</x:f>
        <x:v>9.9344033233028</x:v>
      </x:c>
      <x:c r="L19" s="9" t="n">
        <x:f>MAX(0,L15-L17)*'Assumptions'!D34</x:f>
        <x:v>13.558434110997704</x:v>
      </x:c>
      <x:c r="M19" s="9" t="n">
        <x:f>MAX(0,M15-M17)*'Assumptions'!D34</x:f>
        <x:v>20.177228851950872</x:v>
      </x:c>
      <x:c r="N19" s="9" t="n">
        <x:f>MAX(0,N15-N17)*'Assumptions'!D34</x:f>
        <x:v>13.921190113779222</x:v>
      </x:c>
      <x:c r="O19" s="9" t="n">
        <x:f>MAX(0,O15-O17)*'Assumptions'!D34</x:f>
        <x:v>9.622564943226605</x:v>
      </x:c>
      <x:c r="P19" s="9" t="n">
        <x:f>MAX(0,P15-P17)*'Assumptions'!D34</x:f>
        <x:v>13.362734973545448</x:v>
      </x:c>
      <x:c r="Q19" s="9" t="n">
        <x:f>MAX(0,Q15-Q17)*'Assumptions'!D34</x:f>
        <x:v>20.127993710877426</x:v>
      </x:c>
      <x:c r="R19" s="9" t="n">
        <x:f>MAX(0,R15-R17)*'Assumptions'!D34</x:f>
        <x:v>13.748852378676906</x:v>
      </x:c>
      <x:c r="S19" s="9" t="n">
        <x:f>MAX(0,S15-S17)*'Assumptions'!D34</x:f>
        <x:v>10.432411450593197</x:v>
      </x:c>
      <x:c r="T19" s="9" t="n">
        <x:f>MAX(0,T15-T17)*'Assumptions'!D34</x:f>
        <x:v>14.373639741979282</x:v>
      </x:c>
      <x:c r="U19" s="9" t="n">
        <x:f>MAX(0,U15-U17)*'Assumptions'!D34</x:f>
        <x:v>21.456559535282715</x:v>
      </x:c>
      <x:c r="V19" s="9" t="n">
        <x:f>MAX(0,V15-V17)*'Assumptions'!D34</x:f>
        <x:v>14.797488702267916</x:v>
      </x:c>
      <x:c r="W19" s="9" t="n">
        <x:f>MAX(0,W15-W17)*'Assumptions'!D34</x:f>
        <x:v>11.392130682713692</x:v>
      </x:c>
      <x:c r="X19" s="9" t="n">
        <x:f>MAX(0,X15-X17)*'Assumptions'!D34</x:f>
        <x:v>15.545363780288179</x:v>
      </x:c>
      <x:c r="Y19" s="9" t="n">
        <x:f>MAX(0,Y15-Y17)*'Assumptions'!D34</x:f>
        <x:v>22.96108739488607</x:v>
      </x:c>
      <x:c r="Z19" s="9" t="n">
        <x:f>MAX(0,Z15-Z17)*'Assumptions'!D34</x:f>
        <x:v>16.013706966907</x:v>
      </x:c>
      <x:c r="AA19" s="9" t="n">
        <x:f>MAX(0,AA15-AA17)*'Assumptions'!D34</x:f>
        <x:v>12.520320766386018</x:v>
      </x:c>
      <x:c r="AB19" s="9" t="n">
        <x:f>MAX(0,AB15-AB17)*'Assumptions'!D34</x:f>
        <x:v>16.879204956615922</x:v>
      </x:c>
      <x:c r="AC19" s="9" t="n">
        <x:f>MAX(0,AC15-AC17)*'Assumptions'!D34</x:f>
        <x:v>24.624613703944497</x:v>
      </x:c>
      <x:c r="AD19" s="9" t="n">
        <x:f>MAX(0,AD15-AD17)*'Assumptions'!D34</x:f>
        <x:v>17.35920460958487</x:v>
      </x:c>
    </x:row>
    <x:row r="20" ht="20" customHeight="1">
      <x:c r="A20" s="2"/>
      <x:c r="B20" s="2"/>
      <x:c r="C20" s="2" t="str">
        <x:v>Closing NOL</x:v>
      </x:c>
      <x:c r="D20" s="2" t="n">
        <x:f>N20</x:f>
        <x:v>0</x:v>
      </x:c>
      <x:c r="E20" s="2" t="n">
        <x:f>R20</x:f>
        <x:v>0</x:v>
      </x:c>
      <x:c r="F20" s="2" t="n">
        <x:f>V20</x:f>
        <x:v>0</x:v>
      </x:c>
      <x:c r="G20" s="2" t="n">
        <x:f>Z20</x:f>
        <x:v>0</x:v>
      </x:c>
      <x:c r="H20" s="2" t="n">
        <x:f>AD20</x:f>
        <x:v>0</x:v>
      </x:c>
      <x:c r="I20" s="2"/>
      <x:c r="J20" s="2"/>
      <x:c r="K20" s="2" t="n">
        <x:f>K16+MAX(0,-K15)-K17</x:f>
        <x:v>0</x:v>
      </x:c>
      <x:c r="L20" s="2" t="n">
        <x:f>L16+MAX(0,-L15)-L17</x:f>
        <x:v>0</x:v>
      </x:c>
      <x:c r="M20" s="2" t="n">
        <x:f>M16+MAX(0,-M15)-M17</x:f>
        <x:v>0</x:v>
      </x:c>
      <x:c r="N20" s="2" t="n">
        <x:f>N16+MAX(0,-N15)-N17</x:f>
        <x:v>0</x:v>
      </x:c>
      <x:c r="O20" s="2" t="n">
        <x:f>O16+MAX(0,-O15)-O17</x:f>
        <x:v>0</x:v>
      </x:c>
      <x:c r="P20" s="2" t="n">
        <x:f>P16+MAX(0,-P15)-P17</x:f>
        <x:v>0</x:v>
      </x:c>
      <x:c r="Q20" s="2" t="n">
        <x:f>Q16+MAX(0,-Q15)-Q17</x:f>
        <x:v>0</x:v>
      </x:c>
      <x:c r="R20" s="2" t="n">
        <x:f>R16+MAX(0,-R15)-R17</x:f>
        <x:v>0</x:v>
      </x:c>
      <x:c r="S20" s="2" t="n">
        <x:f>S16+MAX(0,-S15)-S17</x:f>
        <x:v>0</x:v>
      </x:c>
      <x:c r="T20" s="2" t="n">
        <x:f>T16+MAX(0,-T15)-T17</x:f>
        <x:v>0</x:v>
      </x:c>
      <x:c r="U20" s="2" t="n">
        <x:f>U16+MAX(0,-U15)-U17</x:f>
        <x:v>0</x:v>
      </x:c>
      <x:c r="V20" s="2" t="n">
        <x:f>V16+MAX(0,-V15)-V17</x:f>
        <x:v>0</x:v>
      </x:c>
      <x:c r="W20" s="2" t="n">
        <x:f>W16+MAX(0,-W15)-W17</x:f>
        <x:v>0</x:v>
      </x:c>
      <x:c r="X20" s="2" t="n">
        <x:f>X16+MAX(0,-X15)-X17</x:f>
        <x:v>0</x:v>
      </x:c>
      <x:c r="Y20" s="2" t="n">
        <x:f>Y16+MAX(0,-Y15)-Y17</x:f>
        <x:v>0</x:v>
      </x:c>
      <x:c r="Z20" s="2" t="n">
        <x:f>Z16+MAX(0,-Z15)-Z17</x:f>
        <x:v>0</x:v>
      </x:c>
      <x:c r="AA20" s="2" t="n">
        <x:f>AA16+MAX(0,-AA15)-AA17</x:f>
        <x:v>0</x:v>
      </x:c>
      <x:c r="AB20" s="2" t="n">
        <x:f>AB16+MAX(0,-AB15)-AB17</x:f>
        <x:v>0</x:v>
      </x:c>
      <x:c r="AC20" s="2" t="n">
        <x:f>AC16+MAX(0,-AC15)-AC17</x:f>
        <x:v>0</x:v>
      </x:c>
      <x:c r="AD20" s="2" t="n">
        <x:f>AD16+MAX(0,-AD15)-AD17</x:f>
        <x:v>0</x:v>
      </x:c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0" customHeight="1">
      <x:c r="A22" s="2"/>
      <x:c r="B22" s="2"/>
      <x:c r="C22" s="2" t="str">
        <x:v>PPA deferred-tax release</x:v>
      </x:c>
      <x:c r="D22" s="2" t="n">
        <x:f>SUM(K22:N22)</x:f>
        <x:v>11</x:v>
      </x:c>
      <x:c r="E22" s="2" t="n">
        <x:f>SUM(O22:R22)</x:f>
        <x:v>11</x:v>
      </x:c>
      <x:c r="F22" s="2" t="n">
        <x:f>SUM(S22:V22)</x:f>
        <x:v>11</x:v>
      </x:c>
      <x:c r="G22" s="2" t="n">
        <x:f>SUM(W22:Z22)</x:f>
        <x:v>11</x:v>
      </x:c>
      <x:c r="H22" s="2" t="n">
        <x:f>SUM(AA22:AD22)</x:f>
        <x:v>11</x:v>
      </x:c>
      <x:c r="I22" s="2"/>
      <x:c r="J22" s="2"/>
      <x:c r="K22" s="9" t="n">
        <x:f>('Capex &amp; DA'!K21+'Capex &amp; DA'!K28)*'Assumptions'!D34</x:f>
        <x:v>2.75</x:v>
      </x:c>
      <x:c r="L22" s="9" t="n">
        <x:f>('Capex &amp; DA'!L21+'Capex &amp; DA'!L28)*'Assumptions'!D34</x:f>
        <x:v>2.75</x:v>
      </x:c>
      <x:c r="M22" s="9" t="n">
        <x:f>('Capex &amp; DA'!M21+'Capex &amp; DA'!M28)*'Assumptions'!D34</x:f>
        <x:v>2.75</x:v>
      </x:c>
      <x:c r="N22" s="9" t="n">
        <x:f>('Capex &amp; DA'!N21+'Capex &amp; DA'!N28)*'Assumptions'!D34</x:f>
        <x:v>2.75</x:v>
      </x:c>
      <x:c r="O22" s="9" t="n">
        <x:f>('Capex &amp; DA'!O21+'Capex &amp; DA'!O28)*'Assumptions'!D34</x:f>
        <x:v>2.75</x:v>
      </x:c>
      <x:c r="P22" s="9" t="n">
        <x:f>('Capex &amp; DA'!P21+'Capex &amp; DA'!P28)*'Assumptions'!D34</x:f>
        <x:v>2.75</x:v>
      </x:c>
      <x:c r="Q22" s="9" t="n">
        <x:f>('Capex &amp; DA'!Q21+'Capex &amp; DA'!Q28)*'Assumptions'!D34</x:f>
        <x:v>2.75</x:v>
      </x:c>
      <x:c r="R22" s="9" t="n">
        <x:f>('Capex &amp; DA'!R21+'Capex &amp; DA'!R28)*'Assumptions'!D34</x:f>
        <x:v>2.75</x:v>
      </x:c>
      <x:c r="S22" s="9" t="n">
        <x:f>('Capex &amp; DA'!S21+'Capex &amp; DA'!S28)*'Assumptions'!D34</x:f>
        <x:v>2.75</x:v>
      </x:c>
      <x:c r="T22" s="9" t="n">
        <x:f>('Capex &amp; DA'!T21+'Capex &amp; DA'!T28)*'Assumptions'!D34</x:f>
        <x:v>2.75</x:v>
      </x:c>
      <x:c r="U22" s="9" t="n">
        <x:f>('Capex &amp; DA'!U21+'Capex &amp; DA'!U28)*'Assumptions'!D34</x:f>
        <x:v>2.75</x:v>
      </x:c>
      <x:c r="V22" s="9" t="n">
        <x:f>('Capex &amp; DA'!V21+'Capex &amp; DA'!V28)*'Assumptions'!D34</x:f>
        <x:v>2.75</x:v>
      </x:c>
      <x:c r="W22" s="9" t="n">
        <x:f>('Capex &amp; DA'!W21+'Capex &amp; DA'!W28)*'Assumptions'!D34</x:f>
        <x:v>2.75</x:v>
      </x:c>
      <x:c r="X22" s="9" t="n">
        <x:f>('Capex &amp; DA'!X21+'Capex &amp; DA'!X28)*'Assumptions'!D34</x:f>
        <x:v>2.75</x:v>
      </x:c>
      <x:c r="Y22" s="9" t="n">
        <x:f>('Capex &amp; DA'!Y21+'Capex &amp; DA'!Y28)*'Assumptions'!D34</x:f>
        <x:v>2.75</x:v>
      </x:c>
      <x:c r="Z22" s="9" t="n">
        <x:f>('Capex &amp; DA'!Z21+'Capex &amp; DA'!Z28)*'Assumptions'!D34</x:f>
        <x:v>2.75</x:v>
      </x:c>
      <x:c r="AA22" s="9" t="n">
        <x:f>('Capex &amp; DA'!AA21+'Capex &amp; DA'!AA28)*'Assumptions'!D34</x:f>
        <x:v>2.75</x:v>
      </x:c>
      <x:c r="AB22" s="9" t="n">
        <x:f>('Capex &amp; DA'!AB21+'Capex &amp; DA'!AB28)*'Assumptions'!D34</x:f>
        <x:v>2.75</x:v>
      </x:c>
      <x:c r="AC22" s="9" t="n">
        <x:f>('Capex &amp; DA'!AC21+'Capex &amp; DA'!AC28)*'Assumptions'!D34</x:f>
        <x:v>2.75</x:v>
      </x:c>
      <x:c r="AD22" s="9" t="n">
        <x:f>('Capex &amp; DA'!AD21+'Capex &amp; DA'!AD28)*'Assumptions'!D34</x:f>
        <x:v>2.75</x:v>
      </x:c>
    </x:row>
    <x:row r="23" ht="20" customHeight="1">
      <x:c r="A23" s="2"/>
      <x:c r="B23" s="2"/>
      <x:c r="C23" s="2" t="str">
        <x:v>Book tax expense</x:v>
      </x:c>
      <x:c r="D23" s="2" t="n">
        <x:f>SUM(K23:N23)</x:f>
        <x:v>46.5912564000306</x:v>
      </x:c>
      <x:c r="E23" s="2" t="n">
        <x:f>SUM(O23:R23)</x:f>
        <x:v>45.86214600632639</x:v>
      </x:c>
      <x:c r="F23" s="2" t="n">
        <x:f>SUM(S23:V23)</x:f>
        <x:v>50.0600994301231</x:v>
      </x:c>
      <x:c r="G23" s="2" t="n">
        <x:f>SUM(W23:Z23)</x:f>
        <x:v>54.91228882479494</x:v>
      </x:c>
      <x:c r="H23" s="2" t="n">
        <x:f>SUM(AA23:AD23)</x:f>
        <x:v>60.383344036531305</x:v>
      </x:c>
      <x:c r="I23" s="2"/>
      <x:c r="J23" s="2"/>
      <x:c r="K23" s="2" t="n">
        <x:f>K19-K22</x:f>
        <x:v>7.184403323302799</x:v>
      </x:c>
      <x:c r="L23" s="2" t="n">
        <x:f>L19-L22</x:f>
        <x:v>10.808434110997704</x:v>
      </x:c>
      <x:c r="M23" s="2" t="n">
        <x:f>M19-M22</x:f>
        <x:v>17.427228851950872</x:v>
      </x:c>
      <x:c r="N23" s="2" t="n">
        <x:f>N19-N22</x:f>
        <x:v>11.171190113779222</x:v>
      </x:c>
      <x:c r="O23" s="2" t="n">
        <x:f>O19-O22</x:f>
        <x:v>6.872564943226605</x:v>
      </x:c>
      <x:c r="P23" s="2" t="n">
        <x:f>P19-P22</x:f>
        <x:v>10.612734973545448</x:v>
      </x:c>
      <x:c r="Q23" s="2" t="n">
        <x:f>Q19-Q22</x:f>
        <x:v>17.377993710877426</x:v>
      </x:c>
      <x:c r="R23" s="2" t="n">
        <x:f>R19-R22</x:f>
        <x:v>10.998852378676906</x:v>
      </x:c>
      <x:c r="S23" s="2" t="n">
        <x:f>S19-S22</x:f>
        <x:v>7.682411450593197</x:v>
      </x:c>
      <x:c r="T23" s="2" t="n">
        <x:f>T19-T22</x:f>
        <x:v>11.623639741979282</x:v>
      </x:c>
      <x:c r="U23" s="2" t="n">
        <x:f>U19-U22</x:f>
        <x:v>18.706559535282715</x:v>
      </x:c>
      <x:c r="V23" s="2" t="n">
        <x:f>V19-V22</x:f>
        <x:v>12.047488702267916</x:v>
      </x:c>
      <x:c r="W23" s="2" t="n">
        <x:f>W19-W22</x:f>
        <x:v>8.642130682713692</x:v>
      </x:c>
      <x:c r="X23" s="2" t="n">
        <x:f>X19-X22</x:f>
        <x:v>12.795363780288179</x:v>
      </x:c>
      <x:c r="Y23" s="2" t="n">
        <x:f>Y19-Y22</x:f>
        <x:v>20.21108739488607</x:v>
      </x:c>
      <x:c r="Z23" s="2" t="n">
        <x:f>Z19-Z22</x:f>
        <x:v>13.263706966907002</x:v>
      </x:c>
      <x:c r="AA23" s="2" t="n">
        <x:f>AA19-AA22</x:f>
        <x:v>9.770320766386018</x:v>
      </x:c>
      <x:c r="AB23" s="2" t="n">
        <x:f>AB19-AB22</x:f>
        <x:v>14.129204956615922</x:v>
      </x:c>
      <x:c r="AC23" s="2" t="n">
        <x:f>AC19-AC22</x:f>
        <x:v>21.874613703944497</x:v>
      </x:c>
      <x:c r="AD23" s="2" t="n">
        <x:f>AD19-AD22</x:f>
        <x:v>14.609204609584872</x:v>
      </x:c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20" customHeight="1">
      <x:c r="A25" s="2"/>
      <x:c r="B25" s="2"/>
      <x:c r="C25" s="2" t="str">
        <x:v>Remaining PPA deferred tax</x:v>
      </x:c>
      <x:c r="D25" s="2" t="n">
        <x:f>N25</x:f>
        <x:v>99</x:v>
      </x:c>
      <x:c r="E25" s="2" t="n">
        <x:f>R25</x:f>
        <x:v>88</x:v>
      </x:c>
      <x:c r="F25" s="2" t="n">
        <x:f>V25</x:f>
        <x:v>77</x:v>
      </x:c>
      <x:c r="G25" s="2" t="n">
        <x:f>Z25</x:f>
        <x:v>66</x:v>
      </x:c>
      <x:c r="H25" s="2" t="n">
        <x:f>AD25</x:f>
        <x:v>55</x:v>
      </x:c>
      <x:c r="I25" s="2"/>
      <x:c r="J25" s="2"/>
      <x:c r="K25" s="9" t="n">
        <x:f>'Purchase Accounting'!D10-K22</x:f>
        <x:v>107.25</x:v>
      </x:c>
      <x:c r="L25" s="2" t="n">
        <x:f>K25-L22</x:f>
        <x:v>104.5</x:v>
      </x:c>
      <x:c r="M25" s="2" t="n">
        <x:f>L25-M22</x:f>
        <x:v>101.75</x:v>
      </x:c>
      <x:c r="N25" s="2" t="n">
        <x:f>M25-N22</x:f>
        <x:v>99</x:v>
      </x:c>
      <x:c r="O25" s="2" t="n">
        <x:f>N25-O22</x:f>
        <x:v>96.25</x:v>
      </x:c>
      <x:c r="P25" s="2" t="n">
        <x:f>O25-P22</x:f>
        <x:v>93.5</x:v>
      </x:c>
      <x:c r="Q25" s="2" t="n">
        <x:f>P25-Q22</x:f>
        <x:v>90.75</x:v>
      </x:c>
      <x:c r="R25" s="2" t="n">
        <x:f>Q25-R22</x:f>
        <x:v>88</x:v>
      </x:c>
      <x:c r="S25" s="2" t="n">
        <x:f>R25-S22</x:f>
        <x:v>85.25</x:v>
      </x:c>
      <x:c r="T25" s="2" t="n">
        <x:f>S25-T22</x:f>
        <x:v>82.5</x:v>
      </x:c>
      <x:c r="U25" s="2" t="n">
        <x:f>T25-U22</x:f>
        <x:v>79.75</x:v>
      </x:c>
      <x:c r="V25" s="2" t="n">
        <x:f>U25-V22</x:f>
        <x:v>77</x:v>
      </x:c>
      <x:c r="W25" s="2" t="n">
        <x:f>V25-W22</x:f>
        <x:v>74.25</x:v>
      </x:c>
      <x:c r="X25" s="2" t="n">
        <x:f>W25-X22</x:f>
        <x:v>71.5</x:v>
      </x:c>
      <x:c r="Y25" s="2" t="n">
        <x:f>X25-Y22</x:f>
        <x:v>68.75</x:v>
      </x:c>
      <x:c r="Z25" s="2" t="n">
        <x:f>Y25-Z22</x:f>
        <x:v>66</x:v>
      </x:c>
      <x:c r="AA25" s="2" t="n">
        <x:f>Z25-AA22</x:f>
        <x:v>63.25</x:v>
      </x:c>
      <x:c r="AB25" s="2" t="n">
        <x:f>AA25-AB22</x:f>
        <x:v>60.5</x:v>
      </x:c>
      <x:c r="AC25" s="2" t="n">
        <x:f>AB25-AC22</x:f>
        <x:v>57.75</x:v>
      </x:c>
      <x:c r="AD25" s="2" t="n">
        <x:f>AC25-AD22</x:f>
        <x:v>55</x:v>
      </x:c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32" customHeight="1">
      <x:c r="A28" s="2"/>
      <x:c r="B28" s="2"/>
      <x:c r="C28" s="13" t="str">
        <x:v>Illustrative blended 25% tax; quarterly 30% EBITDA interest cap and 80% NOL cap are modeling assumptions.</x:v>
      </x:c>
      <x:c r="D28" s="13"/>
      <x:c r="E28" s="13"/>
      <x:c r="F28" s="13"/>
      <x:c r="G28" s="13"/>
      <x:c r="H28" s="13"/>
      <x:c r="I28" s="13"/>
      <x:c r="J28" s="13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 ht="32" customHeight="1">
      <x:c r="A30" s="2"/>
      <x:c r="B30" s="2"/>
      <x:c r="C30" s="13" t="str">
        <x:v>No jurisdictional tax advice. Financing-fee deductions excluded. New carryforwards fully valuation-allowed.</x:v>
      </x:c>
      <x:c r="D30" s="13"/>
      <x:c r="E30" s="13"/>
      <x:c r="F30" s="13"/>
      <x:c r="G30" s="13"/>
      <x:c r="H30" s="13"/>
      <x:c r="I30" s="13"/>
      <x:c r="J30" s="13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</x:sheetData>
  <x:mergeCells>
    <x:mergeCell ref="C28:J28"/>
    <x:mergeCell ref="C30:J3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Debt Schedule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 s="8" t="n">
        <x:v>2026</x:v>
      </x:c>
      <x:c r="E8" s="8" t="n">
        <x:v>2027</x:v>
      </x:c>
      <x:c r="F8" s="8" t="n">
        <x:v>2028</x:v>
      </x:c>
      <x:c r="G8" s="8" t="n">
        <x:v>2029</x:v>
      </x:c>
      <x:c r="H8" s="8" t="n">
        <x:v>2030</x:v>
      </x:c>
      <x:c r="I8" s="2"/>
      <x:c r="J8" s="2"/>
      <x:c r="K8" s="11" t="n">
        <x:v>46112</x:v>
      </x:c>
      <x:c r="L8" s="11" t="n">
        <x:v>46203</x:v>
      </x:c>
      <x:c r="M8" s="11" t="n">
        <x:v>46295</x:v>
      </x:c>
      <x:c r="N8" s="11" t="n">
        <x:v>46387</x:v>
      </x:c>
      <x:c r="O8" s="11" t="n">
        <x:v>46477</x:v>
      </x:c>
      <x:c r="P8" s="11" t="n">
        <x:v>46568</x:v>
      </x:c>
      <x:c r="Q8" s="11" t="n">
        <x:v>46660</x:v>
      </x:c>
      <x:c r="R8" s="11" t="n">
        <x:v>46752</x:v>
      </x:c>
      <x:c r="S8" s="11" t="n">
        <x:v>46843</x:v>
      </x:c>
      <x:c r="T8" s="11" t="n">
        <x:v>46934</x:v>
      </x:c>
      <x:c r="U8" s="11" t="n">
        <x:v>47026</x:v>
      </x:c>
      <x:c r="V8" s="11" t="n">
        <x:v>47118</x:v>
      </x:c>
      <x:c r="W8" s="11" t="n">
        <x:v>47208</x:v>
      </x:c>
      <x:c r="X8" s="11" t="n">
        <x:v>47299</x:v>
      </x:c>
      <x:c r="Y8" s="11" t="n">
        <x:v>47391</x:v>
      </x:c>
      <x:c r="Z8" s="11" t="n">
        <x:v>47483</x:v>
      </x:c>
      <x:c r="AA8" s="11" t="n">
        <x:v>47573</x:v>
      </x:c>
      <x:c r="AB8" s="11" t="n">
        <x:v>47664</x:v>
      </x:c>
      <x:c r="AC8" s="11" t="n">
        <x:v>47756</x:v>
      </x:c>
      <x:c r="AD8" s="11" t="n">
        <x:v>47848</x:v>
      </x:c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Opening senior debt</x:v>
      </x:c>
      <x:c r="D10" s="2" t="n">
        <x:f>K10</x:f>
        <x:v>1869.0000000000005</x:v>
      </x:c>
      <x:c r="E10" s="2" t="n">
        <x:f>O10</x:f>
        <x:v>1769.2043408811594</x:v>
      </x:c>
      <x:c r="F10" s="2" t="n">
        <x:f>S10</x:f>
        <x:v>1617.7309573522343</x:v>
      </x:c>
      <x:c r="G10" s="2" t="n">
        <x:f>W10</x:f>
        <x:v>1410.575459110361</x:v>
      </x:c>
      <x:c r="H10" s="2" t="n">
        <x:f>AA10</x:f>
        <x:v>1155.754318876366</x:v>
      </x:c>
      <x:c r="I10" s="2"/>
      <x:c r="J10" s="2"/>
      <x:c r="K10" s="9" t="n">
        <x:f>'Sources &amp; Uses'!D28</x:f>
        <x:v>1869.0000000000005</x:v>
      </x:c>
      <x:c r="L10" s="2" t="n">
        <x:f>K34</x:f>
        <x:v>1853.9127389089442</x:v>
      </x:c>
      <x:c r="M10" s="2" t="n">
        <x:f>L34</x:f>
        <x:v>1849.2402389089443</x:v>
      </x:c>
      <x:c r="N10" s="2" t="n">
        <x:f>M34</x:f>
        <x:v>1844.5677389089444</x:v>
      </x:c>
      <x:c r="O10" s="2" t="n">
        <x:f>N34</x:f>
        <x:v>1769.2043408811594</x:v>
      </x:c>
      <x:c r="P10" s="2" t="n">
        <x:f>O34</x:f>
        <x:v>1727.1233470063416</x:v>
      </x:c>
      <x:c r="Q10" s="2" t="n">
        <x:f>P34</x:f>
        <x:v>1722.4508470063417</x:v>
      </x:c>
      <x:c r="R10" s="2" t="n">
        <x:f>Q34</x:f>
        <x:v>1716.551904385591</x:v>
      </x:c>
      <x:c r="S10" s="2" t="n">
        <x:f>R34</x:f>
        <x:v>1617.7309573522343</x:v>
      </x:c>
      <x:c r="T10" s="2" t="n">
        <x:f>S34</x:f>
        <x:v>1555.8098876701665</x:v>
      </x:c>
      <x:c r="U10" s="2" t="n">
        <x:f>T34</x:f>
        <x:v>1544.4249970273002</x:v>
      </x:c>
      <x:c r="V10" s="2" t="n">
        <x:f>U34</x:f>
        <x:v>1523.3827393553431</x:v>
      </x:c>
      <x:c r="W10" s="2" t="n">
        <x:f>V34</x:f>
        <x:v>1410.575459110361</x:v>
      </x:c>
      <x:c r="X10" s="2" t="n">
        <x:f>W34</x:f>
        <x:v>1347.7048645732025</x:v>
      </x:c>
      <x:c r="Y10" s="2" t="n">
        <x:f>X34</x:f>
        <x:v>1319.4564996420477</x:v>
      </x:c>
      <x:c r="Z10" s="2" t="n">
        <x:f>Y34</x:f>
        <x:v>1284.6334580944924</x:v>
      </x:c>
      <x:c r="AA10" s="2" t="n">
        <x:f>Z34</x:f>
        <x:v>1155.754318876366</x:v>
      </x:c>
      <x:c r="AB10" s="2" t="n">
        <x:f>AA34</x:f>
        <x:v>1090.698659492681</x:v>
      </x:c>
      <x:c r="AC10" s="2" t="n">
        <x:f>AB34</x:f>
        <x:v>1050.3676927083104</x:v>
      </x:c>
      <x:c r="AD10" s="2" t="n">
        <x:f>AC34</x:f>
        <x:v>1002.3887817284307</x:v>
      </x:c>
    </x:row>
    <x:row r="11" ht="20" customHeight="1">
      <x:c r="A11" s="2"/>
      <x:c r="B11" s="2"/>
      <x:c r="C11" s="2" t="str">
        <x:v>Opening junior debt</x:v>
      </x:c>
      <x:c r="D11" s="2" t="n">
        <x:f>K11</x:f>
        <x:v>534.0000000000001</x:v>
      </x:c>
      <x:c r="E11" s="2" t="n">
        <x:f>O11</x:f>
        <x:v>534.0000000000001</x:v>
      </x:c>
      <x:c r="F11" s="2" t="n">
        <x:f>S11</x:f>
        <x:v>534.0000000000001</x:v>
      </x:c>
      <x:c r="G11" s="2" t="n">
        <x:f>W11</x:f>
        <x:v>534.0000000000001</x:v>
      </x:c>
      <x:c r="H11" s="2" t="n">
        <x:f>AA11</x:f>
        <x:v>534.0000000000001</x:v>
      </x:c>
      <x:c r="I11" s="2"/>
      <x:c r="J11" s="2"/>
      <x:c r="K11" s="9" t="n">
        <x:f>'Sources &amp; Uses'!D29</x:f>
        <x:v>534.0000000000001</x:v>
      </x:c>
      <x:c r="L11" s="2" t="n">
        <x:f>K35</x:f>
        <x:v>534.0000000000001</x:v>
      </x:c>
      <x:c r="M11" s="2" t="n">
        <x:f>L35</x:f>
        <x:v>534.0000000000001</x:v>
      </x:c>
      <x:c r="N11" s="2" t="n">
        <x:f>M35</x:f>
        <x:v>534.0000000000001</x:v>
      </x:c>
      <x:c r="O11" s="2" t="n">
        <x:f>N35</x:f>
        <x:v>534.0000000000001</x:v>
      </x:c>
      <x:c r="P11" s="2" t="n">
        <x:f>O35</x:f>
        <x:v>534.0000000000001</x:v>
      </x:c>
      <x:c r="Q11" s="2" t="n">
        <x:f>P35</x:f>
        <x:v>534.0000000000001</x:v>
      </x:c>
      <x:c r="R11" s="2" t="n">
        <x:f>Q35</x:f>
        <x:v>534.0000000000001</x:v>
      </x:c>
      <x:c r="S11" s="2" t="n">
        <x:f>R35</x:f>
        <x:v>534.0000000000001</x:v>
      </x:c>
      <x:c r="T11" s="2" t="n">
        <x:f>S35</x:f>
        <x:v>534.0000000000001</x:v>
      </x:c>
      <x:c r="U11" s="2" t="n">
        <x:f>T35</x:f>
        <x:v>534.0000000000001</x:v>
      </x:c>
      <x:c r="V11" s="2" t="n">
        <x:f>U35</x:f>
        <x:v>534.0000000000001</x:v>
      </x:c>
      <x:c r="W11" s="2" t="n">
        <x:f>V35</x:f>
        <x:v>534.0000000000001</x:v>
      </x:c>
      <x:c r="X11" s="2" t="n">
        <x:f>W35</x:f>
        <x:v>534.0000000000001</x:v>
      </x:c>
      <x:c r="Y11" s="2" t="n">
        <x:f>X35</x:f>
        <x:v>534.0000000000001</x:v>
      </x:c>
      <x:c r="Z11" s="2" t="n">
        <x:f>Y35</x:f>
        <x:v>534.0000000000001</x:v>
      </x:c>
      <x:c r="AA11" s="2" t="n">
        <x:f>Z35</x:f>
        <x:v>534.0000000000001</x:v>
      </x:c>
      <x:c r="AB11" s="2" t="n">
        <x:f>AA35</x:f>
        <x:v>534.0000000000001</x:v>
      </x:c>
      <x:c r="AC11" s="2" t="n">
        <x:f>AB35</x:f>
        <x:v>534.0000000000001</x:v>
      </x:c>
      <x:c r="AD11" s="2" t="n">
        <x:f>AC35</x:f>
        <x:v>534.0000000000001</x:v>
      </x:c>
    </x:row>
    <x:row r="12" ht="20" customHeight="1">
      <x:c r="A12" s="2"/>
      <x:c r="B12" s="2"/>
      <x:c r="C12" s="2" t="str">
        <x:v>Opening revolver</x:v>
      </x:c>
      <x:c r="D12" s="2" t="n">
        <x:f>K12</x:f>
        <x:v>0</x:v>
      </x:c>
      <x:c r="E12" s="2" t="n">
        <x:f>O12</x:f>
        <x:v>0</x:v>
      </x:c>
      <x:c r="F12" s="2" t="n">
        <x:f>S12</x:f>
        <x:v>0</x:v>
      </x:c>
      <x:c r="G12" s="2" t="n">
        <x:f>W12</x:f>
        <x:v>0</x:v>
      </x:c>
      <x:c r="H12" s="2" t="n">
        <x:f>AA12</x:f>
        <x:v>0</x:v>
      </x:c>
      <x:c r="I12" s="2"/>
      <x:c r="J12" s="2"/>
      <x:c r="K12" s="2" t="n">
        <x:f>0</x:f>
        <x:v>0</x:v>
      </x:c>
      <x:c r="L12" s="2" t="n">
        <x:f>K36</x:f>
        <x:v>0</x:v>
      </x:c>
      <x:c r="M12" s="2" t="n">
        <x:f>L36</x:f>
        <x:v>8.515141447280634</x:v>
      </x:c>
      <x:c r="N12" s="2" t="n">
        <x:f>M36</x:f>
        <x:v>13.90125378024991</x:v>
      </x:c>
      <x:c r="O12" s="2" t="n">
        <x:f>N36</x:f>
        <x:v>0</x:v>
      </x:c>
      <x:c r="P12" s="2" t="n">
        <x:f>O36</x:f>
        <x:v>0</x:v>
      </x:c>
      <x:c r="Q12" s="2" t="n">
        <x:f>P36</x:f>
        <x:v>1.271393862960707</x:v>
      </x:c>
      <x:c r="R12" s="2" t="n">
        <x:f>Q36</x:f>
        <x:v>0</x:v>
      </x:c>
      <x:c r="S12" s="2" t="n">
        <x:f>R36</x:f>
        <x:v>0</x:v>
      </x:c>
      <x:c r="T12" s="2" t="n">
        <x:f>S36</x:f>
        <x:v>0</x:v>
      </x:c>
      <x:c r="U12" s="2" t="n">
        <x:f>T36</x:f>
        <x:v>0</x:v>
      </x:c>
      <x:c r="V12" s="2" t="n">
        <x:f>U36</x:f>
        <x:v>0</x:v>
      </x:c>
      <x:c r="W12" s="2" t="n">
        <x:f>V36</x:f>
        <x:v>0</x:v>
      </x:c>
      <x:c r="X12" s="2" t="n">
        <x:f>W36</x:f>
        <x:v>0</x:v>
      </x:c>
      <x:c r="Y12" s="2" t="n">
        <x:f>X36</x:f>
        <x:v>0</x:v>
      </x:c>
      <x:c r="Z12" s="2" t="n">
        <x:f>Y36</x:f>
        <x:v>0</x:v>
      </x:c>
      <x:c r="AA12" s="2" t="n">
        <x:f>Z36</x:f>
        <x:v>0</x:v>
      </x:c>
      <x:c r="AB12" s="2" t="n">
        <x:f>AA36</x:f>
        <x:v>0</x:v>
      </x:c>
      <x:c r="AC12" s="2" t="n">
        <x:f>AB36</x:f>
        <x:v>0</x:v>
      </x:c>
      <x:c r="AD12" s="2" t="n">
        <x:f>AC36</x:f>
        <x:v>0</x:v>
      </x:c>
    </x:row>
    <x:row r="13" ht="20" customHeight="1">
      <x:c r="A13" s="2"/>
      <x:c r="B13" s="2"/>
      <x:c r="C13" s="2" t="str">
        <x:v>Opening finance leases</x:v>
      </x:c>
      <x:c r="D13" s="2" t="n">
        <x:f>K13</x:f>
        <x:v>49.925</x:v>
      </x:c>
      <x:c r="E13" s="2" t="n">
        <x:f>O13</x:f>
        <x:v>48.425</x:v>
      </x:c>
      <x:c r="F13" s="2" t="n">
        <x:f>S13</x:f>
        <x:v>46.925</x:v>
      </x:c>
      <x:c r="G13" s="2" t="n">
        <x:f>W13</x:f>
        <x:v>45.425</x:v>
      </x:c>
      <x:c r="H13" s="2" t="n">
        <x:f>AA13</x:f>
        <x:v>43.925</x:v>
      </x:c>
      <x:c r="I13" s="2"/>
      <x:c r="J13" s="2"/>
      <x:c r="K13" s="9" t="n">
        <x:f>'Closing Bridge'!D31</x:f>
        <x:v>49.925</x:v>
      </x:c>
      <x:c r="L13" s="2" t="n">
        <x:f>K37</x:f>
        <x:v>49.55</x:v>
      </x:c>
      <x:c r="M13" s="2" t="n">
        <x:f>L37</x:f>
        <x:v>49.175</x:v>
      </x:c>
      <x:c r="N13" s="2" t="n">
        <x:f>M37</x:f>
        <x:v>48.8</x:v>
      </x:c>
      <x:c r="O13" s="2" t="n">
        <x:f>N37</x:f>
        <x:v>48.425</x:v>
      </x:c>
      <x:c r="P13" s="2" t="n">
        <x:f>O37</x:f>
        <x:v>48.05</x:v>
      </x:c>
      <x:c r="Q13" s="2" t="n">
        <x:f>P37</x:f>
        <x:v>47.675</x:v>
      </x:c>
      <x:c r="R13" s="2" t="n">
        <x:f>Q37</x:f>
        <x:v>47.3</x:v>
      </x:c>
      <x:c r="S13" s="2" t="n">
        <x:f>R37</x:f>
        <x:v>46.925</x:v>
      </x:c>
      <x:c r="T13" s="2" t="n">
        <x:f>S37</x:f>
        <x:v>46.55</x:v>
      </x:c>
      <x:c r="U13" s="2" t="n">
        <x:f>T37</x:f>
        <x:v>46.175</x:v>
      </x:c>
      <x:c r="V13" s="2" t="n">
        <x:f>U37</x:f>
        <x:v>45.8</x:v>
      </x:c>
      <x:c r="W13" s="2" t="n">
        <x:f>V37</x:f>
        <x:v>45.425</x:v>
      </x:c>
      <x:c r="X13" s="2" t="n">
        <x:f>W37</x:f>
        <x:v>45.05</x:v>
      </x:c>
      <x:c r="Y13" s="2" t="n">
        <x:f>X37</x:f>
        <x:v>44.675</x:v>
      </x:c>
      <x:c r="Z13" s="2" t="n">
        <x:f>Y37</x:f>
        <x:v>44.3</x:v>
      </x:c>
      <x:c r="AA13" s="2" t="n">
        <x:f>Z37</x:f>
        <x:v>43.925</x:v>
      </x:c>
      <x:c r="AB13" s="2" t="n">
        <x:f>AA37</x:f>
        <x:v>43.55</x:v>
      </x:c>
      <x:c r="AC13" s="2" t="n">
        <x:f>AB37</x:f>
        <x:v>43.175</x:v>
      </x:c>
      <x:c r="AD13" s="2" t="n">
        <x:f>AC37</x:f>
        <x:v>42.8</x:v>
      </x:c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 t="str">
        <x:v>Senior interest</x:v>
      </x:c>
      <x:c r="D16" s="2" t="n">
        <x:f>SUM(K16:N16)</x:f>
        <x:v>150.3880873777688</x:v>
      </x:c>
      <x:c r="E16" s="2" t="n">
        <x:f>SUM(O16:R16)</x:f>
        <x:v>136.2245202773133</x:v>
      </x:c>
      <x:c r="F16" s="2" t="n">
        <x:f>SUM(S16:V16)</x:f>
        <x:v>118.96469346755036</x:v>
      </x:c>
      <x:c r="G16" s="2" t="n">
        <x:f>SUM(W16:Z16)</x:f>
        <x:v>101.91025210580327</x:v>
      </x:c>
      <x:c r="H16" s="2" t="n">
        <x:f>SUM(AA16:AD16)</x:f>
        <x:v>81.69272132518482</x:v>
      </x:c>
      <x:c r="I16" s="2"/>
      <x:c r="J16" s="2"/>
      <x:c r="K16" s="9" t="n">
        <x:f>K10*(MAX('Assumptions'!D101+'Sensitivities'!$D$8,'Assumptions'!D24)+'Assumptions'!D22)*90/360</x:f>
        <x:v>37.38000000000001</x:v>
      </x:c>
      <x:c r="L16" s="9" t="n">
        <x:f>L10*(MAX('Assumptions'!D101+'Sensitivities'!$D$8,'Assumptions'!D24)+'Assumptions'!D22)*91/360</x:f>
        <x:v>37.49023538682532</x:v>
      </x:c>
      <x:c r="M16" s="9" t="n">
        <x:f>M10*(MAX('Assumptions'!D101+'Sensitivities'!$D$8,'Assumptions'!D24)+'Assumptions'!D22)*92/360</x:f>
        <x:v>37.806689328805085</x:v>
      </x:c>
      <x:c r="N16" s="9" t="n">
        <x:f>N10*(MAX('Assumptions'!D101+'Sensitivities'!$D$8,'Assumptions'!D24)+'Assumptions'!D22)*92/360</x:f>
        <x:v>37.71116266213841</x:v>
      </x:c>
      <x:c r="O16" s="9" t="n">
        <x:f>O10*(MAX('Assumptions'!E101+'Sensitivities'!$D$8,'Assumptions'!D24)+'Assumptions'!D22)*90/360</x:f>
        <x:v>34.278334104572465</x:v>
      </x:c>
      <x:c r="P16" s="9" t="n">
        <x:f>P10*(MAX('Assumptions'!E101+'Sensitivities'!$D$8,'Assumptions'!D24)+'Assumptions'!D22)*91/360</x:f>
        <x:v>33.83482612433951</x:v>
      </x:c>
      <x:c r="Q16" s="9" t="n">
        <x:f>Q10*(MAX('Assumptions'!E101+'Sensitivities'!$D$8,'Assumptions'!D24)+'Assumptions'!D22)*92/360</x:f>
        <x:v>34.114095942097826</x:v>
      </x:c>
      <x:c r="R16" s="9" t="n">
        <x:f>R10*(MAX('Assumptions'!E101+'Sensitivities'!$D$8,'Assumptions'!D24)+'Assumptions'!D22)*92/360</x:f>
        <x:v>33.997264106303504</x:v>
      </x:c>
      <x:c r="S16" s="9" t="n">
        <x:f>S10*(MAX('Assumptions'!F101+'Sensitivities'!$D$8,'Assumptions'!D24)+'Assumptions'!D22)*91/360</x:f>
        <x:v>30.669482733136118</x:v>
      </x:c>
      <x:c r="T16" s="9" t="n">
        <x:f>T10*(MAX('Assumptions'!F101+'Sensitivities'!$D$8,'Assumptions'!D24)+'Assumptions'!D22)*91/360</x:f>
        <x:v>29.495562453746913</x:v>
      </x:c>
      <x:c r="U16" s="9" t="n">
        <x:f>U10*(MAX('Assumptions'!F101+'Sensitivities'!$D$8,'Assumptions'!D24)+'Assumptions'!D22)*92/360</x:f>
        <x:v>29.601479109689926</x:v>
      </x:c>
      <x:c r="V16" s="9" t="n">
        <x:f>V10*(MAX('Assumptions'!F101+'Sensitivities'!$D$8,'Assumptions'!D24)+'Assumptions'!D22)*92/360</x:f>
        <x:v>29.198169170977412</x:v>
      </x:c>
      <x:c r="W16" s="9" t="n">
        <x:f>W10*(MAX('Assumptions'!G101+'Sensitivities'!$D$8,'Assumptions'!D24)+'Assumptions'!D22)*90/360</x:f>
        <x:v>26.44828985831927</x:v>
      </x:c>
      <x:c r="X16" s="9" t="n">
        <x:f>X10*(MAX('Assumptions'!G101+'Sensitivities'!$D$8,'Assumptions'!D24)+'Assumptions'!D22)*91/360</x:f>
        <x:v>25.550238057533633</x:v>
      </x:c>
      <x:c r="Y16" s="9" t="n">
        <x:f>Y10*(MAX('Assumptions'!G101+'Sensitivities'!$D$8,'Assumptions'!D24)+'Assumptions'!D22)*92/360</x:f>
        <x:v>25.28958290980592</x:v>
      </x:c>
      <x:c r="Z16" s="9" t="n">
        <x:f>Z10*(MAX('Assumptions'!G101+'Sensitivities'!$D$8,'Assumptions'!D24)+'Assumptions'!D22)*92/360</x:f>
        <x:v>24.622141280144444</x:v>
      </x:c>
      <x:c r="AA16" s="9" t="n">
        <x:f>AA10*(MAX('Assumptions'!H101+'Sensitivities'!$D$8,'Assumptions'!D24)+'Assumptions'!D22)*90/360</x:f>
        <x:v>21.670393478931864</x:v>
      </x:c>
      <x:c r="AB16" s="9" t="n">
        <x:f>AB10*(MAX('Assumptions'!H101+'Sensitivities'!$D$8,'Assumptions'!D24)+'Assumptions'!D22)*91/360</x:f>
        <x:v>20.67782875288208</x:v>
      </x:c>
      <x:c r="AC16" s="9" t="n">
        <x:f>AC10*(MAX('Assumptions'!H101+'Sensitivities'!$D$8,'Assumptions'!D24)+'Assumptions'!D22)*92/360</x:f>
        <x:v>20.13204744357595</x:v>
      </x:c>
      <x:c r="AD16" s="9" t="n">
        <x:f>AD10*(MAX('Assumptions'!H101+'Sensitivities'!$D$8,'Assumptions'!D24)+'Assumptions'!D22)*92/360</x:f>
        <x:v>19.212451649794925</x:v>
      </x:c>
    </x:row>
    <x:row r="17" ht="20" customHeight="1">
      <x:c r="A17" s="2"/>
      <x:c r="B17" s="2"/>
      <x:c r="C17" s="2" t="str">
        <x:v>Junior interest</x:v>
      </x:c>
      <x:c r="D17" s="2" t="n">
        <x:f>SUM(K17:N17)</x:f>
        <x:v>59.555833333333354</x:v>
      </x:c>
      <x:c r="E17" s="2" t="n">
        <x:f>SUM(O17:R17)</x:f>
        <x:v>59.555833333333354</x:v>
      </x:c>
      <x:c r="F17" s="2" t="n">
        <x:f>SUM(S17:V17)</x:f>
        <x:v>59.719000000000015</x:v>
      </x:c>
      <x:c r="G17" s="2" t="n">
        <x:f>SUM(W17:Z17)</x:f>
        <x:v>59.555833333333354</x:v>
      </x:c>
      <x:c r="H17" s="2" t="n">
        <x:f>SUM(AA17:AD17)</x:f>
        <x:v>59.555833333333354</x:v>
      </x:c>
      <x:c r="I17" s="2"/>
      <x:c r="J17" s="2"/>
      <x:c r="K17" s="9" t="n">
        <x:f>K11*'Assumptions'!D25*90/360</x:f>
        <x:v>14.685000000000004</x:v>
      </x:c>
      <x:c r="L17" s="9" t="n">
        <x:f>L11*'Assumptions'!D25*91/360</x:f>
        <x:v>14.84816666666667</x:v>
      </x:c>
      <x:c r="M17" s="9" t="n">
        <x:f>M11*'Assumptions'!D25*92/360</x:f>
        <x:v>15.011333333333338</x:v>
      </x:c>
      <x:c r="N17" s="9" t="n">
        <x:f>N11*'Assumptions'!D25*92/360</x:f>
        <x:v>15.011333333333338</x:v>
      </x:c>
      <x:c r="O17" s="9" t="n">
        <x:f>O11*'Assumptions'!D25*90/360</x:f>
        <x:v>14.685000000000004</x:v>
      </x:c>
      <x:c r="P17" s="9" t="n">
        <x:f>P11*'Assumptions'!D25*91/360</x:f>
        <x:v>14.84816666666667</x:v>
      </x:c>
      <x:c r="Q17" s="9" t="n">
        <x:f>Q11*'Assumptions'!D25*92/360</x:f>
        <x:v>15.011333333333338</x:v>
      </x:c>
      <x:c r="R17" s="9" t="n">
        <x:f>R11*'Assumptions'!D25*92/360</x:f>
        <x:v>15.011333333333338</x:v>
      </x:c>
      <x:c r="S17" s="9" t="n">
        <x:f>S11*'Assumptions'!D25*91/360</x:f>
        <x:v>14.84816666666667</x:v>
      </x:c>
      <x:c r="T17" s="9" t="n">
        <x:f>T11*'Assumptions'!D25*91/360</x:f>
        <x:v>14.84816666666667</x:v>
      </x:c>
      <x:c r="U17" s="9" t="n">
        <x:f>U11*'Assumptions'!D25*92/360</x:f>
        <x:v>15.011333333333338</x:v>
      </x:c>
      <x:c r="V17" s="9" t="n">
        <x:f>V11*'Assumptions'!D25*92/360</x:f>
        <x:v>15.011333333333338</x:v>
      </x:c>
      <x:c r="W17" s="9" t="n">
        <x:f>W11*'Assumptions'!D25*90/360</x:f>
        <x:v>14.685000000000004</x:v>
      </x:c>
      <x:c r="X17" s="9" t="n">
        <x:f>X11*'Assumptions'!D25*91/360</x:f>
        <x:v>14.84816666666667</x:v>
      </x:c>
      <x:c r="Y17" s="9" t="n">
        <x:f>Y11*'Assumptions'!D25*92/360</x:f>
        <x:v>15.011333333333338</x:v>
      </x:c>
      <x:c r="Z17" s="9" t="n">
        <x:f>Z11*'Assumptions'!D25*92/360</x:f>
        <x:v>15.011333333333338</x:v>
      </x:c>
      <x:c r="AA17" s="9" t="n">
        <x:f>AA11*'Assumptions'!D25*90/360</x:f>
        <x:v>14.685000000000004</x:v>
      </x:c>
      <x:c r="AB17" s="9" t="n">
        <x:f>AB11*'Assumptions'!D25*91/360</x:f>
        <x:v>14.84816666666667</x:v>
      </x:c>
      <x:c r="AC17" s="9" t="n">
        <x:f>AC11*'Assumptions'!D25*92/360</x:f>
        <x:v>15.011333333333338</x:v>
      </x:c>
      <x:c r="AD17" s="9" t="n">
        <x:f>AD11*'Assumptions'!D25*92/360</x:f>
        <x:v>15.011333333333338</x:v>
      </x:c>
    </x:row>
    <x:row r="18" ht="20" customHeight="1">
      <x:c r="A18" s="2"/>
      <x:c r="B18" s="2"/>
      <x:c r="C18" s="2" t="str">
        <x:v>Revolver interest</x:v>
      </x:c>
      <x:c r="D18" s="2" t="n">
        <x:f>SUM(K18:N18)</x:f>
        <x:v>0.42964757519433544</x:v>
      </x:c>
      <x:c r="E18" s="2" t="n">
        <x:f>SUM(O18:R18)</x:f>
        <x:v>0.023556102960966437</x:v>
      </x:c>
      <x:c r="F18" s="2" t="n">
        <x:f>SUM(S18:V18)</x:f>
        <x:v>0</x:v>
      </x:c>
      <x:c r="G18" s="2" t="n">
        <x:f>SUM(W18:Z18)</x:f>
        <x:v>0</x:v>
      </x:c>
      <x:c r="H18" s="2" t="n">
        <x:f>SUM(AA18:AD18)</x:f>
        <x:v>0</x:v>
      </x:c>
      <x:c r="I18" s="2"/>
      <x:c r="J18" s="2"/>
      <x:c r="K18" s="9" t="n">
        <x:f>K12*(MAX('Assumptions'!D101+'Sensitivities'!$D$8,'Assumptions'!D24)+'Assumptions'!D23)*90/360</x:f>
        <x:v>0</x:v>
      </x:c>
      <x:c r="L18" s="9" t="n">
        <x:f>L12*(MAX('Assumptions'!D101+'Sensitivities'!$D$8,'Assumptions'!D24)+'Assumptions'!D23)*91/360</x:f>
        <x:v>0</x:v>
      </x:c>
      <x:c r="M18" s="9" t="n">
        <x:f>M12*(MAX('Assumptions'!D101+'Sensitivities'!$D$8,'Assumptions'!D24)+'Assumptions'!D23)*92/360</x:f>
        <x:v>0.1632068777395455</x:v>
      </x:c>
      <x:c r="N18" s="9" t="n">
        <x:f>N12*(MAX('Assumptions'!D101+'Sensitivities'!$D$8,'Assumptions'!D24)+'Assumptions'!D23)*92/360</x:f>
        <x:v>0.26644069745478993</x:v>
      </x:c>
      <x:c r="O18" s="9" t="n">
        <x:f>O12*(MAX('Assumptions'!E101+'Sensitivities'!$D$8,'Assumptions'!D24)+'Assumptions'!D23)*90/360</x:f>
        <x:v>0</x:v>
      </x:c>
      <x:c r="P18" s="9" t="n">
        <x:f>P12*(MAX('Assumptions'!E101+'Sensitivities'!$D$8,'Assumptions'!D24)+'Assumptions'!D23)*91/360</x:f>
        <x:v>0</x:v>
      </x:c>
      <x:c r="Q18" s="9" t="n">
        <x:f>Q12*(MAX('Assumptions'!E101+'Sensitivities'!$D$8,'Assumptions'!D24)+'Assumptions'!D23)*92/360</x:f>
        <x:v>0.023556102960966437</x:v>
      </x:c>
      <x:c r="R18" s="9" t="n">
        <x:f>R12*(MAX('Assumptions'!E101+'Sensitivities'!$D$8,'Assumptions'!D24)+'Assumptions'!D23)*92/360</x:f>
        <x:v>0</x:v>
      </x:c>
      <x:c r="S18" s="9" t="n">
        <x:f>S12*(MAX('Assumptions'!F101+'Sensitivities'!$D$8,'Assumptions'!D24)+'Assumptions'!D23)*91/360</x:f>
        <x:v>0</x:v>
      </x:c>
      <x:c r="T18" s="9" t="n">
        <x:f>T12*(MAX('Assumptions'!F101+'Sensitivities'!$D$8,'Assumptions'!D24)+'Assumptions'!D23)*91/360</x:f>
        <x:v>0</x:v>
      </x:c>
      <x:c r="U18" s="9" t="n">
        <x:f>U12*(MAX('Assumptions'!F101+'Sensitivities'!$D$8,'Assumptions'!D24)+'Assumptions'!D23)*92/360</x:f>
        <x:v>0</x:v>
      </x:c>
      <x:c r="V18" s="9" t="n">
        <x:f>V12*(MAX('Assumptions'!F101+'Sensitivities'!$D$8,'Assumptions'!D24)+'Assumptions'!D23)*92/360</x:f>
        <x:v>0</x:v>
      </x:c>
      <x:c r="W18" s="9" t="n">
        <x:f>W12*(MAX('Assumptions'!G101+'Sensitivities'!$D$8,'Assumptions'!D24)+'Assumptions'!D23)*90/360</x:f>
        <x:v>0</x:v>
      </x:c>
      <x:c r="X18" s="9" t="n">
        <x:f>X12*(MAX('Assumptions'!G101+'Sensitivities'!$D$8,'Assumptions'!D24)+'Assumptions'!D23)*91/360</x:f>
        <x:v>0</x:v>
      </x:c>
      <x:c r="Y18" s="9" t="n">
        <x:f>Y12*(MAX('Assumptions'!G101+'Sensitivities'!$D$8,'Assumptions'!D24)+'Assumptions'!D23)*92/360</x:f>
        <x:v>0</x:v>
      </x:c>
      <x:c r="Z18" s="9" t="n">
        <x:f>Z12*(MAX('Assumptions'!G101+'Sensitivities'!$D$8,'Assumptions'!D24)+'Assumptions'!D23)*92/360</x:f>
        <x:v>0</x:v>
      </x:c>
      <x:c r="AA18" s="9" t="n">
        <x:f>AA12*(MAX('Assumptions'!H101+'Sensitivities'!$D$8,'Assumptions'!D24)+'Assumptions'!D23)*90/360</x:f>
        <x:v>0</x:v>
      </x:c>
      <x:c r="AB18" s="9" t="n">
        <x:f>AB12*(MAX('Assumptions'!H101+'Sensitivities'!$D$8,'Assumptions'!D24)+'Assumptions'!D23)*91/360</x:f>
        <x:v>0</x:v>
      </x:c>
      <x:c r="AC18" s="9" t="n">
        <x:f>AC12*(MAX('Assumptions'!H101+'Sensitivities'!$D$8,'Assumptions'!D24)+'Assumptions'!D23)*92/360</x:f>
        <x:v>0</x:v>
      </x:c>
      <x:c r="AD18" s="9" t="n">
        <x:f>AD12*(MAX('Assumptions'!H101+'Sensitivities'!$D$8,'Assumptions'!D24)+'Assumptions'!D23)*92/360</x:f>
        <x:v>0</x:v>
      </x:c>
    </x:row>
    <x:row r="19" ht="20" customHeight="1">
      <x:c r="A19" s="2"/>
      <x:c r="B19" s="2"/>
      <x:c r="C19" s="2" t="str">
        <x:v>Finance lease interest</x:v>
      </x:c>
      <x:c r="D19" s="2" t="n">
        <x:f>SUM(K19:N19)</x:f>
        <x:v>3.1027555555555555</x:v>
      </x:c>
      <x:c r="E19" s="2" t="n">
        <x:f>SUM(O19:R19)</x:f>
        <x:v>3.0084638888888886</x:v>
      </x:c>
      <x:c r="F19" s="2" t="n">
        <x:f>SUM(S19:V19)</x:f>
        <x:v>2.92225375</x:v>
      </x:c>
      <x:c r="G19" s="2" t="n">
        <x:f>SUM(W19:Z19)</x:f>
        <x:v>2.8198805555555557</x:v>
      </x:c>
      <x:c r="H19" s="2" t="n">
        <x:f>SUM(AA19:AD19)</x:f>
        <x:v>2.725588888888889</x:v>
      </x:c>
      <x:c r="I19" s="2"/>
      <x:c r="J19" s="2"/>
      <x:c r="K19" s="9" t="n">
        <x:f>K13*'Assumptions'!D26*90/360</x:f>
        <x:v>0.7738375000000001</x:v>
      </x:c>
      <x:c r="L19" s="9" t="n">
        <x:f>L13*'Assumptions'!D26*91/360</x:f>
        <x:v>0.7765586111111111</x:v>
      </x:c>
      <x:c r="M19" s="9" t="n">
        <x:f>M13*'Assumptions'!D26*92/360</x:f>
        <x:v>0.7791505555555555</x:v>
      </x:c>
      <x:c r="N19" s="9" t="n">
        <x:f>N13*'Assumptions'!D26*92/360</x:f>
        <x:v>0.7732088888888888</x:v>
      </x:c>
      <x:c r="O19" s="9" t="n">
        <x:f>O13*'Assumptions'!D26*90/360</x:f>
        <x:v>0.7505875</x:v>
      </x:c>
      <x:c r="P19" s="9" t="n">
        <x:f>P13*'Assumptions'!D26*91/360</x:f>
        <x:v>0.7530502777777778</x:v>
      </x:c>
      <x:c r="Q19" s="9" t="n">
        <x:f>Q13*'Assumptions'!D26*92/360</x:f>
        <x:v>0.7553838888888889</x:v>
      </x:c>
      <x:c r="R19" s="9" t="n">
        <x:f>R13*'Assumptions'!D26*92/360</x:f>
        <x:v>0.7494422222222222</x:v>
      </x:c>
      <x:c r="S19" s="9" t="n">
        <x:f>S13*'Assumptions'!D26*91/360</x:f>
        <x:v>0.7354190277777778</x:v>
      </x:c>
      <x:c r="T19" s="9" t="n">
        <x:f>T13*'Assumptions'!D26*91/360</x:f>
        <x:v>0.7295419444444443</x:v>
      </x:c>
      <x:c r="U19" s="9" t="n">
        <x:f>U13*'Assumptions'!D26*92/360</x:f>
        <x:v>0.7316172222222223</x:v>
      </x:c>
      <x:c r="V19" s="9" t="n">
        <x:f>V13*'Assumptions'!D26*92/360</x:f>
        <x:v>0.7256755555555555</x:v>
      </x:c>
      <x:c r="W19" s="9" t="n">
        <x:f>W13*'Assumptions'!D26*90/360</x:f>
        <x:v>0.7040875</x:v>
      </x:c>
      <x:c r="X19" s="9" t="n">
        <x:f>X13*'Assumptions'!D26*91/360</x:f>
        <x:v>0.7060336111111111</x:v>
      </x:c>
      <x:c r="Y19" s="9" t="n">
        <x:f>Y13*'Assumptions'!D26*92/360</x:f>
        <x:v>0.7078505555555555</x:v>
      </x:c>
      <x:c r="Z19" s="9" t="n">
        <x:f>Z13*'Assumptions'!D26*92/360</x:f>
        <x:v>0.7019088888888889</x:v>
      </x:c>
      <x:c r="AA19" s="9" t="n">
        <x:f>AA13*'Assumptions'!D26*90/360</x:f>
        <x:v>0.6808375</x:v>
      </x:c>
      <x:c r="AB19" s="9" t="n">
        <x:f>AB13*'Assumptions'!D26*91/360</x:f>
        <x:v>0.6825252777777778</x:v>
      </x:c>
      <x:c r="AC19" s="9" t="n">
        <x:f>AC13*'Assumptions'!D26*92/360</x:f>
        <x:v>0.6840838888888888</x:v>
      </x:c>
      <x:c r="AD19" s="9" t="n">
        <x:f>AD13*'Assumptions'!D26*92/360</x:f>
        <x:v>0.6781422222222222</x:v>
      </x:c>
    </x:row>
    <x:row r="20" ht="20" customHeight="1">
      <x:c r="A20" s="2"/>
      <x:c r="B20" s="2"/>
      <x:c r="C20" s="2" t="str">
        <x:v>Undrawn commitment fee</x:v>
      </x:c>
      <x:c r="D20" s="2" t="n">
        <x:f>SUM(K20:N20)</x:f>
        <x:v>2.001669328320378</x:v>
      </x:c>
      <x:c r="E20" s="2" t="n">
        <x:f>SUM(O20:R20)</x:f>
        <x:v>2.028687941175106</x:v>
      </x:c>
      <x:c r="F20" s="2" t="n">
        <x:f>SUM(S20:V20)</x:f>
        <x:v>2.0358750000000008</x:v>
      </x:c>
      <x:c r="G20" s="2" t="n">
        <x:f>SUM(W20:Z20)</x:f>
        <x:v>2.0303125000000004</x:v>
      </x:c>
      <x:c r="H20" s="2" t="n">
        <x:f>SUM(AA20:AD20)</x:f>
        <x:v>2.0303125000000004</x:v>
      </x:c>
      <x:c r="I20" s="2"/>
      <x:c r="J20" s="2"/>
      <x:c r="K20" s="9" t="n">
        <x:f>('Sources &amp; Uses'!D35-K12)*'Assumptions'!D27*90/360</x:f>
        <x:v>0.5006250000000001</x:v>
      </x:c>
      <x:c r="L20" s="9" t="n">
        <x:f>('Sources &amp; Uses'!D35-L12)*'Assumptions'!D27*91/360</x:f>
        <x:v>0.5061875000000001</x:v>
      </x:c>
      <x:c r="M20" s="9" t="n">
        <x:f>('Sources &amp; Uses'!D35-M12)*'Assumptions'!D27*92/360</x:f>
        <x:v>0.5008695414840305</x:v>
      </x:c>
      <x:c r="N20" s="9" t="n">
        <x:f>('Sources &amp; Uses'!D35-N12)*'Assumptions'!D27*92/360</x:f>
        <x:v>0.4939872868363475</x:v>
      </x:c>
      <x:c r="O20" s="9" t="n">
        <x:f>('Sources &amp; Uses'!D35-O12)*'Assumptions'!D27*90/360</x:f>
        <x:v>0.5006250000000001</x:v>
      </x:c>
      <x:c r="P20" s="9" t="n">
        <x:f>('Sources &amp; Uses'!D35-P12)*'Assumptions'!D27*91/360</x:f>
        <x:v>0.5061875000000001</x:v>
      </x:c>
      <x:c r="Q20" s="9" t="n">
        <x:f>('Sources &amp; Uses'!D35-Q12)*'Assumptions'!D27*92/360</x:f>
        <x:v>0.5101254411751058</x:v>
      </x:c>
      <x:c r="R20" s="9" t="n">
        <x:f>('Sources &amp; Uses'!D35-R12)*'Assumptions'!D27*92/360</x:f>
        <x:v>0.5117500000000001</x:v>
      </x:c>
      <x:c r="S20" s="9" t="n">
        <x:f>('Sources &amp; Uses'!D35-S12)*'Assumptions'!D27*91/360</x:f>
        <x:v>0.5061875000000001</x:v>
      </x:c>
      <x:c r="T20" s="9" t="n">
        <x:f>('Sources &amp; Uses'!D35-T12)*'Assumptions'!D27*91/360</x:f>
        <x:v>0.5061875000000001</x:v>
      </x:c>
      <x:c r="U20" s="9" t="n">
        <x:f>('Sources &amp; Uses'!D35-U12)*'Assumptions'!D27*92/360</x:f>
        <x:v>0.5117500000000001</x:v>
      </x:c>
      <x:c r="V20" s="9" t="n">
        <x:f>('Sources &amp; Uses'!D35-V12)*'Assumptions'!D27*92/360</x:f>
        <x:v>0.5117500000000001</x:v>
      </x:c>
      <x:c r="W20" s="9" t="n">
        <x:f>('Sources &amp; Uses'!D35-W12)*'Assumptions'!D27*90/360</x:f>
        <x:v>0.5006250000000001</x:v>
      </x:c>
      <x:c r="X20" s="9" t="n">
        <x:f>('Sources &amp; Uses'!D35-X12)*'Assumptions'!D27*91/360</x:f>
        <x:v>0.5061875000000001</x:v>
      </x:c>
      <x:c r="Y20" s="9" t="n">
        <x:f>('Sources &amp; Uses'!D35-Y12)*'Assumptions'!D27*92/360</x:f>
        <x:v>0.5117500000000001</x:v>
      </x:c>
      <x:c r="Z20" s="9" t="n">
        <x:f>('Sources &amp; Uses'!D35-Z12)*'Assumptions'!D27*92/360</x:f>
        <x:v>0.5117500000000001</x:v>
      </x:c>
      <x:c r="AA20" s="9" t="n">
        <x:f>('Sources &amp; Uses'!D35-AA12)*'Assumptions'!D27*90/360</x:f>
        <x:v>0.5006250000000001</x:v>
      </x:c>
      <x:c r="AB20" s="9" t="n">
        <x:f>('Sources &amp; Uses'!D35-AB12)*'Assumptions'!D27*91/360</x:f>
        <x:v>0.5061875000000001</x:v>
      </x:c>
      <x:c r="AC20" s="9" t="n">
        <x:f>('Sources &amp; Uses'!D35-AC12)*'Assumptions'!D27*92/360</x:f>
        <x:v>0.5117500000000001</x:v>
      </x:c>
      <x:c r="AD20" s="9" t="n">
        <x:f>('Sources &amp; Uses'!D35-AD12)*'Assumptions'!D27*92/360</x:f>
        <x:v>0.5117500000000001</x:v>
      </x:c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0" customHeight="1">
      <x:c r="A22" s="2"/>
      <x:c r="B22" s="2"/>
      <x:c r="C22" s="2" t="str">
        <x:v>Total cash financing costs</x:v>
      </x:c>
      <x:c r="D22" s="2" t="n">
        <x:f>SUM(K22:N22)</x:f>
        <x:v>215.47799317017245</x:v>
      </x:c>
      <x:c r="E22" s="2" t="n">
        <x:f>SUM(O22:R22)</x:f>
        <x:v>200.84106154367163</x:v>
      </x:c>
      <x:c r="F22" s="2" t="n">
        <x:f>SUM(S22:V22)</x:f>
        <x:v>183.64182221755038</x:v>
      </x:c>
      <x:c r="G22" s="2" t="n">
        <x:f>SUM(W22:Z22)</x:f>
        <x:v>166.31627849469217</x:v>
      </x:c>
      <x:c r="H22" s="2" t="n">
        <x:f>SUM(AA22:AD22)</x:f>
        <x:v>146.00445604740707</x:v>
      </x:c>
      <x:c r="I22" s="2"/>
      <x:c r="J22" s="2"/>
      <x:c r="K22" s="2" t="n">
        <x:f>SUM(K16:K20)</x:f>
        <x:v>53.33946250000001</x:v>
      </x:c>
      <x:c r="L22" s="2" t="n">
        <x:f>SUM(L16:L20)</x:f>
        <x:v>53.621148164603106</x:v>
      </x:c>
      <x:c r="M22" s="2" t="n">
        <x:f>SUM(M16:M20)</x:f>
        <x:v>54.261249636917555</x:v>
      </x:c>
      <x:c r="N22" s="2" t="n">
        <x:f>SUM(N16:N20)</x:f>
        <x:v>54.25613286865178</x:v>
      </x:c>
      <x:c r="O22" s="2" t="n">
        <x:f>SUM(O16:O20)</x:f>
        <x:v>50.21454660457247</x:v>
      </x:c>
      <x:c r="P22" s="2" t="n">
        <x:f>SUM(P16:P20)</x:f>
        <x:v>49.94223056878396</x:v>
      </x:c>
      <x:c r="Q22" s="2" t="n">
        <x:f>SUM(Q16:Q20)</x:f>
        <x:v>50.414494708456125</x:v>
      </x:c>
      <x:c r="R22" s="2" t="n">
        <x:f>SUM(R16:R20)</x:f>
        <x:v>50.269789661859065</x:v>
      </x:c>
      <x:c r="S22" s="2" t="n">
        <x:f>SUM(S16:S20)</x:f>
        <x:v>46.75925592758057</x:v>
      </x:c>
      <x:c r="T22" s="2" t="n">
        <x:f>SUM(T16:T20)</x:f>
        <x:v>45.57945856485803</x:v>
      </x:c>
      <x:c r="U22" s="2" t="n">
        <x:f>SUM(U16:U20)</x:f>
        <x:v>45.856179665245485</x:v>
      </x:c>
      <x:c r="V22" s="2" t="n">
        <x:f>SUM(V16:V20)</x:f>
        <x:v>45.4469280598663</x:v>
      </x:c>
      <x:c r="W22" s="2" t="n">
        <x:f>SUM(W16:W20)</x:f>
        <x:v>42.33800235831927</x:v>
      </x:c>
      <x:c r="X22" s="2" t="n">
        <x:f>SUM(X16:X20)</x:f>
        <x:v>41.61062583531142</x:v>
      </x:c>
      <x:c r="Y22" s="2" t="n">
        <x:f>SUM(Y16:Y20)</x:f>
        <x:v>41.52051679869481</x:v>
      </x:c>
      <x:c r="Z22" s="2" t="n">
        <x:f>SUM(Z16:Z20)</x:f>
        <x:v>40.84713350236667</x:v>
      </x:c>
      <x:c r="AA22" s="2" t="n">
        <x:f>SUM(AA16:AA20)</x:f>
        <x:v>37.53685597893187</x:v>
      </x:c>
      <x:c r="AB22" s="2" t="n">
        <x:f>SUM(AB16:AB20)</x:f>
        <x:v>36.71470819732653</x:v>
      </x:c>
      <x:c r="AC22" s="2" t="n">
        <x:f>SUM(AC16:AC20)</x:f>
        <x:v>36.339214665798174</x:v>
      </x:c>
      <x:c r="AD22" s="2" t="n">
        <x:f>SUM(AD16:AD20)</x:f>
        <x:v>35.41367720535048</x:v>
      </x:c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 t="str">
        <x:v>Opening cash</x:v>
      </x:c>
      <x:c r="D24" s="2" t="n">
        <x:f>K24</x:f>
        <x:v>59.053999999999995</x:v>
      </x:c>
      <x:c r="E24" s="2" t="n">
        <x:f>O24</x:f>
        <x:v>59.054</x:v>
      </x:c>
      <x:c r="F24" s="2" t="n">
        <x:f>S24</x:f>
        <x:v>59.054</x:v>
      </x:c>
      <x:c r="G24" s="2" t="n">
        <x:f>W24</x:f>
        <x:v>59.054</x:v>
      </x:c>
      <x:c r="H24" s="2" t="n">
        <x:f>AA24</x:f>
        <x:v>59.054</x:v>
      </x:c>
      <x:c r="I24" s="2"/>
      <x:c r="J24" s="2"/>
      <x:c r="K24" s="9" t="n">
        <x:f>'Sources &amp; Uses'!D22</x:f>
        <x:v>59.053999999999995</x:v>
      </x:c>
      <x:c r="L24" s="2" t="n">
        <x:f>K38</x:f>
        <x:v>59.053999999999995</x:v>
      </x:c>
      <x:c r="M24" s="2" t="n">
        <x:f>L38</x:f>
        <x:v>59.053999999999995</x:v>
      </x:c>
      <x:c r="N24" s="2" t="n">
        <x:f>M38</x:f>
        <x:v>59.053999999999995</x:v>
      </x:c>
      <x:c r="O24" s="2" t="n">
        <x:f>N38</x:f>
        <x:v>59.054</x:v>
      </x:c>
      <x:c r="P24" s="2" t="n">
        <x:f>O38</x:f>
        <x:v>59.053999999999995</x:v>
      </x:c>
      <x:c r="Q24" s="2" t="n">
        <x:f>P38</x:f>
        <x:v>59.053999999999995</x:v>
      </x:c>
      <x:c r="R24" s="2" t="n">
        <x:f>Q38</x:f>
        <x:v>59.053999999999995</x:v>
      </x:c>
      <x:c r="S24" s="2" t="n">
        <x:f>R38</x:f>
        <x:v>59.054</x:v>
      </x:c>
      <x:c r="T24" s="2" t="n">
        <x:f>S38</x:f>
        <x:v>59.053999999999995</x:v>
      </x:c>
      <x:c r="U24" s="2" t="n">
        <x:f>T38</x:f>
        <x:v>59.053999999999995</x:v>
      </x:c>
      <x:c r="V24" s="2" t="n">
        <x:f>U38</x:f>
        <x:v>59.053999999999995</x:v>
      </x:c>
      <x:c r="W24" s="2" t="n">
        <x:f>V38</x:f>
        <x:v>59.054</x:v>
      </x:c>
      <x:c r="X24" s="2" t="n">
        <x:f>W38</x:f>
        <x:v>59.053999999999995</x:v>
      </x:c>
      <x:c r="Y24" s="2" t="n">
        <x:f>X38</x:f>
        <x:v>59.053999999999995</x:v>
      </x:c>
      <x:c r="Z24" s="2" t="n">
        <x:f>Y38</x:f>
        <x:v>59.053999999999995</x:v>
      </x:c>
      <x:c r="AA24" s="2" t="n">
        <x:f>Z38</x:f>
        <x:v>59.054</x:v>
      </x:c>
      <x:c r="AB24" s="2" t="n">
        <x:f>AA38</x:f>
        <x:v>59.053999999999995</x:v>
      </x:c>
      <x:c r="AC24" s="2" t="n">
        <x:f>AB38</x:f>
        <x:v>59.053999999999995</x:v>
      </x:c>
      <x:c r="AD24" s="2" t="n">
        <x:f>AC38</x:f>
        <x:v>59.053999999999995</x:v>
      </x:c>
    </x:row>
    <x:row r="25" ht="20" customHeight="1">
      <x:c r="A25" s="2"/>
      <x:c r="B25" s="2"/>
      <x:c r="C25" s="2" t="str">
        <x:v>Cash flow before principal</x:v>
      </x:c>
      <x:c r="D25" s="2" t="n">
        <x:f>SUM(K25:N25)</x:f>
        <x:v>101.29565911884154</x:v>
      </x:c>
      <x:c r="E25" s="2" t="n">
        <x:f>SUM(O25:R25)</x:f>
        <x:v>152.9733835289254</x:v>
      </x:c>
      <x:c r="F25" s="2" t="n">
        <x:f>SUM(S25:V25)</x:f>
        <x:v>208.65549824187377</x:v>
      </x:c>
      <x:c r="G25" s="2" t="n">
        <x:f>SUM(W25:Z25)</x:f>
        <x:v>256.3211402339954</x:v>
      </x:c>
      <x:c r="H25" s="2" t="n">
        <x:f>SUM(AA25:AD25)</x:f>
        <x:v>299.46463791206645</x:v>
      </x:c>
      <x:c r="I25" s="2"/>
      <x:c r="J25" s="2"/>
      <x:c r="K25" s="9" t="n">
        <x:f>'Operating Case'!K28-K22-'Taxes'!K19-'Capex &amp; DA'!K10-'Working Capital'!K16</x:f>
        <x:v>15.462261091056433</x:v>
      </x:c>
      <x:c r="L25" s="9" t="n">
        <x:f>'Operating Case'!L28-L22-'Taxes'!L19-'Capex &amp; DA'!L10-'Working Capital'!L16</x:f>
        <x:v>-3.467641447280638</x:v>
      </x:c>
      <x:c r="M25" s="9" t="n">
        <x:f>'Operating Case'!M28-M22-'Taxes'!M19-'Capex &amp; DA'!M10-'Working Capital'!M16</x:f>
        <x:v>-0.3386123329692765</x:v>
      </x:c>
      <x:c r="N25" s="9" t="n">
        <x:f>'Operating Case'!N28-N22-'Taxes'!N19-'Capex &amp; DA'!N10-'Working Capital'!N16</x:f>
        <x:v>89.63965180803503</x:v>
      </x:c>
      <x:c r="O25" s="9" t="n">
        <x:f>'Operating Case'!O28-O22-'Taxes'!O19-'Capex &amp; DA'!O10-'Working Capital'!O16</x:f>
        <x:v>42.45599387481775</x:v>
      </x:c>
      <x:c r="P25" s="9" t="n">
        <x:f>'Operating Case'!P28-P22-'Taxes'!P19-'Capex &amp; DA'!P10-'Working Capital'!P16</x:f>
        <x:v>3.7761061370392923</x:v>
      </x:c>
      <x:c r="Q25" s="9" t="n">
        <x:f>'Operating Case'!Q28-Q22-'Taxes'!Q19-'Capex &amp; DA'!Q10-'Working Capital'!Q16</x:f>
        <x:v>7.545336483711736</x:v>
      </x:c>
      <x:c r="R25" s="9" t="n">
        <x:f>'Operating Case'!R28-R22-'Taxes'!R19-'Capex &amp; DA'!R10-'Working Capital'!R16</x:f>
        <x:v>99.19594703335665</x:v>
      </x:c>
      <x:c r="S25" s="9" t="n">
        <x:f>'Operating Case'!S28-S22-'Taxes'!S19-'Capex &amp; DA'!S10-'Working Capital'!S16</x:f>
        <x:v>62.29606968206801</x:v>
      </x:c>
      <x:c r="T25" s="9" t="n">
        <x:f>'Operating Case'!T28-T22-'Taxes'!T19-'Capex &amp; DA'!T10-'Working Capital'!T16</x:f>
        <x:v>11.759890642866495</x:v>
      </x:c>
      <x:c r="U25" s="9" t="n">
        <x:f>'Operating Case'!U28-U22-'Taxes'!U19-'Capex &amp; DA'!U10-'Working Capital'!U16</x:f>
        <x:v>21.417257671957046</x:v>
      </x:c>
      <x:c r="V25" s="9" t="n">
        <x:f>'Operating Case'!V28-V22-'Taxes'!V19-'Capex &amp; DA'!V10-'Working Capital'!V16</x:f>
        <x:v>113.18228024498222</x:v>
      </x:c>
      <x:c r="W25" s="9" t="n">
        <x:f>'Operating Case'!W28-W22-'Taxes'!W19-'Capex &amp; DA'!W10-'Working Capital'!W16</x:f>
        <x:v>63.24559453715858</x:v>
      </x:c>
      <x:c r="X25" s="9" t="n">
        <x:f>'Operating Case'!X28-X22-'Taxes'!X19-'Capex &amp; DA'!X10-'Working Capital'!X16</x:f>
        <x:v>28.623364931154896</x:v>
      </x:c>
      <x:c r="Y25" s="9" t="n">
        <x:f>'Operating Case'!Y28-Y22-'Taxes'!Y19-'Capex &amp; DA'!Y10-'Working Capital'!Y16</x:f>
        <x:v>35.19804154755525</x:v>
      </x:c>
      <x:c r="Z25" s="9" t="n">
        <x:f>'Operating Case'!Z28-Z22-'Taxes'!Z19-'Capex &amp; DA'!Z10-'Working Capital'!Z16</x:f>
        <x:v>129.25413921812662</x:v>
      </x:c>
      <x:c r="AA25" s="9" t="n">
        <x:f>'Operating Case'!AA28-AA22-'Taxes'!AA19-'Capex &amp; DA'!AA10-'Working Capital'!AA16</x:f>
        <x:v>65.43065938368505</x:v>
      </x:c>
      <x:c r="AB25" s="9" t="n">
        <x:f>'Operating Case'!AB28-AB22-'Taxes'!AB19-'Capex &amp; DA'!AB10-'Working Capital'!AB16</x:f>
        <x:v>40.70596678437053</x:v>
      </x:c>
      <x:c r="AC25" s="9" t="n">
        <x:f>'Operating Case'!AC28-AC22-'Taxes'!AC19-'Capex &amp; DA'!AC10-'Working Capital'!AC16</x:f>
        <x:v>48.353910979879856</x:v>
      </x:c>
      <x:c r="AD25" s="9" t="n">
        <x:f>'Operating Case'!AD28-AD22-'Taxes'!AD19-'Capex &amp; DA'!AD10-'Working Capital'!AD16</x:f>
        <x:v>144.97410076413098</x:v>
      </x:c>
    </x:row>
    <x:row r="26" ht="20" customHeight="1">
      <x:c r="A26" s="2"/>
      <x:c r="B26" s="2"/>
      <x:c r="C26" s="2" t="str">
        <x:v>Mandatory senior amortization</x:v>
      </x:c>
      <x:c r="D26" s="2" t="n">
        <x:f>SUM(K26:N26)</x:f>
        <x:v>18.690000000000005</x:v>
      </x:c>
      <x:c r="E26" s="2" t="n">
        <x:f>SUM(O26:R26)</x:f>
        <x:v>18.690000000000005</x:v>
      </x:c>
      <x:c r="F26" s="2" t="n">
        <x:f>SUM(S26:V26)</x:f>
        <x:v>18.690000000000005</x:v>
      </x:c>
      <x:c r="G26" s="2" t="n">
        <x:f>SUM(W26:Z26)</x:f>
        <x:v>18.690000000000005</x:v>
      </x:c>
      <x:c r="H26" s="2" t="n">
        <x:f>SUM(AA26:AD26)</x:f>
        <x:v>18.690000000000005</x:v>
      </x:c>
      <x:c r="I26" s="2"/>
      <x:c r="J26" s="2"/>
      <x:c r="K26" s="9" t="n">
        <x:f>MIN(K10,'Sources &amp; Uses'!D28*'Assumptions'!D20/4)</x:f>
        <x:v>4.672500000000001</x:v>
      </x:c>
      <x:c r="L26" s="9" t="n">
        <x:f>MIN(L10,'Sources &amp; Uses'!D28*'Assumptions'!D20/4)</x:f>
        <x:v>4.672500000000001</x:v>
      </x:c>
      <x:c r="M26" s="9" t="n">
        <x:f>MIN(M10,'Sources &amp; Uses'!D28*'Assumptions'!D20/4)</x:f>
        <x:v>4.672500000000001</x:v>
      </x:c>
      <x:c r="N26" s="9" t="n">
        <x:f>MIN(N10,'Sources &amp; Uses'!D28*'Assumptions'!D20/4)</x:f>
        <x:v>4.672500000000001</x:v>
      </x:c>
      <x:c r="O26" s="9" t="n">
        <x:f>MIN(O10,'Sources &amp; Uses'!D28*'Assumptions'!D20/4)</x:f>
        <x:v>4.672500000000001</x:v>
      </x:c>
      <x:c r="P26" s="9" t="n">
        <x:f>MIN(P10,'Sources &amp; Uses'!D28*'Assumptions'!D20/4)</x:f>
        <x:v>4.672500000000001</x:v>
      </x:c>
      <x:c r="Q26" s="9" t="n">
        <x:f>MIN(Q10,'Sources &amp; Uses'!D28*'Assumptions'!D20/4)</x:f>
        <x:v>4.672500000000001</x:v>
      </x:c>
      <x:c r="R26" s="9" t="n">
        <x:f>MIN(R10,'Sources &amp; Uses'!D28*'Assumptions'!D20/4)</x:f>
        <x:v>4.672500000000001</x:v>
      </x:c>
      <x:c r="S26" s="9" t="n">
        <x:f>MIN(S10,'Sources &amp; Uses'!D28*'Assumptions'!D20/4)</x:f>
        <x:v>4.672500000000001</x:v>
      </x:c>
      <x:c r="T26" s="9" t="n">
        <x:f>MIN(T10,'Sources &amp; Uses'!D28*'Assumptions'!D20/4)</x:f>
        <x:v>4.672500000000001</x:v>
      </x:c>
      <x:c r="U26" s="9" t="n">
        <x:f>MIN(U10,'Sources &amp; Uses'!D28*'Assumptions'!D20/4)</x:f>
        <x:v>4.672500000000001</x:v>
      </x:c>
      <x:c r="V26" s="9" t="n">
        <x:f>MIN(V10,'Sources &amp; Uses'!D28*'Assumptions'!D20/4)</x:f>
        <x:v>4.672500000000001</x:v>
      </x:c>
      <x:c r="W26" s="9" t="n">
        <x:f>MIN(W10,'Sources &amp; Uses'!D28*'Assumptions'!D20/4)</x:f>
        <x:v>4.672500000000001</x:v>
      </x:c>
      <x:c r="X26" s="9" t="n">
        <x:f>MIN(X10,'Sources &amp; Uses'!D28*'Assumptions'!D20/4)</x:f>
        <x:v>4.672500000000001</x:v>
      </x:c>
      <x:c r="Y26" s="9" t="n">
        <x:f>MIN(Y10,'Sources &amp; Uses'!D28*'Assumptions'!D20/4)</x:f>
        <x:v>4.672500000000001</x:v>
      </x:c>
      <x:c r="Z26" s="9" t="n">
        <x:f>MIN(Z10,'Sources &amp; Uses'!D28*'Assumptions'!D20/4)</x:f>
        <x:v>4.672500000000001</x:v>
      </x:c>
      <x:c r="AA26" s="9" t="n">
        <x:f>MIN(AA10,'Sources &amp; Uses'!D28*'Assumptions'!D20/4)</x:f>
        <x:v>4.672500000000001</x:v>
      </x:c>
      <x:c r="AB26" s="9" t="n">
        <x:f>MIN(AB10,'Sources &amp; Uses'!D28*'Assumptions'!D20/4)</x:f>
        <x:v>4.672500000000001</x:v>
      </x:c>
      <x:c r="AC26" s="9" t="n">
        <x:f>MIN(AC10,'Sources &amp; Uses'!D28*'Assumptions'!D20/4)</x:f>
        <x:v>4.672500000000001</x:v>
      </x:c>
      <x:c r="AD26" s="9" t="n">
        <x:f>MIN(AD10,'Sources &amp; Uses'!D28*'Assumptions'!D20/4)</x:f>
        <x:v>4.672500000000001</x:v>
      </x:c>
    </x:row>
    <x:row r="27" ht="20" customHeight="1">
      <x:c r="A27" s="2"/>
      <x:c r="B27" s="2"/>
      <x:c r="C27" s="2" t="str">
        <x:v>Finance lease principal</x:v>
      </x:c>
      <x:c r="D27" s="2" t="n">
        <x:f>SUM(K27:N27)</x:f>
        <x:v>1.5</x:v>
      </x:c>
      <x:c r="E27" s="2" t="n">
        <x:f>SUM(O27:R27)</x:f>
        <x:v>1.5</x:v>
      </x:c>
      <x:c r="F27" s="2" t="n">
        <x:f>SUM(S27:V27)</x:f>
        <x:v>1.5</x:v>
      </x:c>
      <x:c r="G27" s="2" t="n">
        <x:f>SUM(W27:Z27)</x:f>
        <x:v>1.5</x:v>
      </x:c>
      <x:c r="H27" s="2" t="n">
        <x:f>SUM(AA27:AD27)</x:f>
        <x:v>1.5</x:v>
      </x:c>
      <x:c r="I27" s="2"/>
      <x:c r="J27" s="2"/>
      <x:c r="K27" s="9" t="n">
        <x:f>MIN(K13,'Assumptions'!D21/4)</x:f>
        <x:v>0.375</x:v>
      </x:c>
      <x:c r="L27" s="9" t="n">
        <x:f>MIN(L13,'Assumptions'!D21/4)</x:f>
        <x:v>0.375</x:v>
      </x:c>
      <x:c r="M27" s="9" t="n">
        <x:f>MIN(M13,'Assumptions'!D21/4)</x:f>
        <x:v>0.375</x:v>
      </x:c>
      <x:c r="N27" s="9" t="n">
        <x:f>MIN(N13,'Assumptions'!D21/4)</x:f>
        <x:v>0.375</x:v>
      </x:c>
      <x:c r="O27" s="9" t="n">
        <x:f>MIN(O13,'Assumptions'!D21/4)</x:f>
        <x:v>0.375</x:v>
      </x:c>
      <x:c r="P27" s="9" t="n">
        <x:f>MIN(P13,'Assumptions'!D21/4)</x:f>
        <x:v>0.375</x:v>
      </x:c>
      <x:c r="Q27" s="9" t="n">
        <x:f>MIN(Q13,'Assumptions'!D21/4)</x:f>
        <x:v>0.375</x:v>
      </x:c>
      <x:c r="R27" s="9" t="n">
        <x:f>MIN(R13,'Assumptions'!D21/4)</x:f>
        <x:v>0.375</x:v>
      </x:c>
      <x:c r="S27" s="9" t="n">
        <x:f>MIN(S13,'Assumptions'!D21/4)</x:f>
        <x:v>0.375</x:v>
      </x:c>
      <x:c r="T27" s="9" t="n">
        <x:f>MIN(T13,'Assumptions'!D21/4)</x:f>
        <x:v>0.375</x:v>
      </x:c>
      <x:c r="U27" s="9" t="n">
        <x:f>MIN(U13,'Assumptions'!D21/4)</x:f>
        <x:v>0.375</x:v>
      </x:c>
      <x:c r="V27" s="9" t="n">
        <x:f>MIN(V13,'Assumptions'!D21/4)</x:f>
        <x:v>0.375</x:v>
      </x:c>
      <x:c r="W27" s="9" t="n">
        <x:f>MIN(W13,'Assumptions'!D21/4)</x:f>
        <x:v>0.375</x:v>
      </x:c>
      <x:c r="X27" s="9" t="n">
        <x:f>MIN(X13,'Assumptions'!D21/4)</x:f>
        <x:v>0.375</x:v>
      </x:c>
      <x:c r="Y27" s="9" t="n">
        <x:f>MIN(Y13,'Assumptions'!D21/4)</x:f>
        <x:v>0.375</x:v>
      </x:c>
      <x:c r="Z27" s="9" t="n">
        <x:f>MIN(Z13,'Assumptions'!D21/4)</x:f>
        <x:v>0.375</x:v>
      </x:c>
      <x:c r="AA27" s="9" t="n">
        <x:f>MIN(AA13,'Assumptions'!D21/4)</x:f>
        <x:v>0.375</x:v>
      </x:c>
      <x:c r="AB27" s="9" t="n">
        <x:f>MIN(AB13,'Assumptions'!D21/4)</x:f>
        <x:v>0.375</x:v>
      </x:c>
      <x:c r="AC27" s="9" t="n">
        <x:f>MIN(AC13,'Assumptions'!D21/4)</x:f>
        <x:v>0.375</x:v>
      </x:c>
      <x:c r="AD27" s="9" t="n">
        <x:f>MIN(AD13,'Assumptions'!D21/4)</x:f>
        <x:v>0.375</x:v>
      </x:c>
    </x:row>
    <x:row r="28" ht="20" customHeight="1">
      <x:c r="A28" s="2"/>
      <x:c r="B28" s="2"/>
      <x:c r="C28" s="2" t="str">
        <x:v>Cash before revolver funding</x:v>
      </x:c>
      <x:c r="D28" s="2" t="n">
        <x:f>N28</x:f>
        <x:v>143.646151808035</x:v>
      </x:c>
      <x:c r="E28" s="2" t="n">
        <x:f>R28</x:f>
        <x:v>153.20244703335663</x:v>
      </x:c>
      <x:c r="F28" s="2" t="n">
        <x:f>V28</x:f>
        <x:v>167.1887802449822</x:v>
      </x:c>
      <x:c r="G28" s="2" t="n">
        <x:f>Z28</x:f>
        <x:v>183.2606392181266</x:v>
      </x:c>
      <x:c r="H28" s="2" t="n">
        <x:f>AD28</x:f>
        <x:v>198.98060076413097</x:v>
      </x:c>
      <x:c r="I28" s="2"/>
      <x:c r="J28" s="2"/>
      <x:c r="K28" s="2" t="n">
        <x:f>K24+K25-K26-K27</x:f>
        <x:v>69.46876109105644</x:v>
      </x:c>
      <x:c r="L28" s="2" t="n">
        <x:f>L24+L25-L26-L27</x:f>
        <x:v>50.53885855271936</x:v>
      </x:c>
      <x:c r="M28" s="2" t="n">
        <x:f>M24+M25-M26-M27</x:f>
        <x:v>53.66788766703072</x:v>
      </x:c>
      <x:c r="N28" s="2" t="n">
        <x:f>N24+N25-N26-N27</x:f>
        <x:v>143.646151808035</x:v>
      </x:c>
      <x:c r="O28" s="2" t="n">
        <x:f>O24+O25-O26-O27</x:f>
        <x:v>96.46249387481775</x:v>
      </x:c>
      <x:c r="P28" s="2" t="n">
        <x:f>P24+P25-P26-P27</x:f>
        <x:v>57.78260613703929</x:v>
      </x:c>
      <x:c r="Q28" s="2" t="n">
        <x:f>Q24+Q25-Q26-Q27</x:f>
        <x:v>61.55183648371174</x:v>
      </x:c>
      <x:c r="R28" s="2" t="n">
        <x:f>R24+R25-R26-R27</x:f>
        <x:v>153.20244703335663</x:v>
      </x:c>
      <x:c r="S28" s="2" t="n">
        <x:f>S24+S25-S26-S27</x:f>
        <x:v>116.30256968206801</x:v>
      </x:c>
      <x:c r="T28" s="2" t="n">
        <x:f>T24+T25-T26-T27</x:f>
        <x:v>65.76639064286648</x:v>
      </x:c>
      <x:c r="U28" s="2" t="n">
        <x:f>U24+U25-U26-U27</x:f>
        <x:v>75.42375767195703</x:v>
      </x:c>
      <x:c r="V28" s="2" t="n">
        <x:f>V24+V25-V26-V27</x:f>
        <x:v>167.1887802449822</x:v>
      </x:c>
      <x:c r="W28" s="2" t="n">
        <x:f>W24+W25-W26-W27</x:f>
        <x:v>117.25209453715858</x:v>
      </x:c>
      <x:c r="X28" s="2" t="n">
        <x:f>X24+X25-X26-X27</x:f>
        <x:v>82.6298649311549</x:v>
      </x:c>
      <x:c r="Y28" s="2" t="n">
        <x:f>Y24+Y25-Y26-Y27</x:f>
        <x:v>89.20454154755525</x:v>
      </x:c>
      <x:c r="Z28" s="2" t="n">
        <x:f>Z24+Z25-Z26-Z27</x:f>
        <x:v>183.2606392181266</x:v>
      </x:c>
      <x:c r="AA28" s="2" t="n">
        <x:f>AA24+AA25-AA26-AA27</x:f>
        <x:v>119.43715938368506</x:v>
      </x:c>
      <x:c r="AB28" s="2" t="n">
        <x:f>AB24+AB25-AB26-AB27</x:f>
        <x:v>94.71246678437053</x:v>
      </x:c>
      <x:c r="AC28" s="2" t="n">
        <x:f>AC24+AC25-AC26-AC27</x:f>
        <x:v>102.36041097987986</x:v>
      </x:c>
      <x:c r="AD28" s="2" t="n">
        <x:f>AD24+AD25-AD26-AD27</x:f>
        <x:v>198.98060076413097</x:v>
      </x:c>
    </x:row>
    <x:row r="29" ht="20" customHeight="1">
      <x:c r="A29" s="2"/>
      <x:c r="B29" s="2"/>
      <x:c r="C29" s="2" t="str">
        <x:v>Revolver draw</x:v>
      </x:c>
      <x:c r="D29" s="2" t="n">
        <x:f>SUM(K29:N29)</x:f>
        <x:v>13.90125378024991</x:v>
      </x:c>
      <x:c r="E29" s="2" t="n">
        <x:f>SUM(O29:R29)</x:f>
        <x:v>1.271393862960707</x:v>
      </x:c>
      <x:c r="F29" s="2" t="n">
        <x:f>SUM(S29:V29)</x:f>
        <x:v>0</x:v>
      </x:c>
      <x:c r="G29" s="2" t="n">
        <x:f>SUM(W29:Z29)</x:f>
        <x:v>0</x:v>
      </x:c>
      <x:c r="H29" s="2" t="n">
        <x:f>SUM(AA29:AD29)</x:f>
        <x:v>0</x:v>
      </x:c>
      <x:c r="I29" s="2"/>
      <x:c r="J29" s="2"/>
      <x:c r="K29" s="9" t="n">
        <x:f>MIN(MAX(0,'Sources &amp; Uses'!D22-K28),MAX(0,'Sources &amp; Uses'!D35-K12))</x:f>
        <x:v>0</x:v>
      </x:c>
      <x:c r="L29" s="9" t="n">
        <x:f>MIN(MAX(0,'Sources &amp; Uses'!D22-L28),MAX(0,'Sources &amp; Uses'!D35-L12))</x:f>
        <x:v>8.515141447280634</x:v>
      </x:c>
      <x:c r="M29" s="9" t="n">
        <x:f>MIN(MAX(0,'Sources &amp; Uses'!D22-M28),MAX(0,'Sources &amp; Uses'!D35-M12))</x:f>
        <x:v>5.386112332969276</x:v>
      </x:c>
      <x:c r="N29" s="9" t="n">
        <x:f>MIN(MAX(0,'Sources &amp; Uses'!D22-N28),MAX(0,'Sources &amp; Uses'!D35-N12))</x:f>
        <x:v>0</x:v>
      </x:c>
      <x:c r="O29" s="9" t="n">
        <x:f>MIN(MAX(0,'Sources &amp; Uses'!D22-O28),MAX(0,'Sources &amp; Uses'!D35-O12))</x:f>
        <x:v>0</x:v>
      </x:c>
      <x:c r="P29" s="9" t="n">
        <x:f>MIN(MAX(0,'Sources &amp; Uses'!D22-P28),MAX(0,'Sources &amp; Uses'!D35-P12))</x:f>
        <x:v>1.271393862960707</x:v>
      </x:c>
      <x:c r="Q29" s="9" t="n">
        <x:f>MIN(MAX(0,'Sources &amp; Uses'!D22-Q28),MAX(0,'Sources &amp; Uses'!D35-Q12))</x:f>
        <x:v>0</x:v>
      </x:c>
      <x:c r="R29" s="9" t="n">
        <x:f>MIN(MAX(0,'Sources &amp; Uses'!D22-R28),MAX(0,'Sources &amp; Uses'!D35-R12))</x:f>
        <x:v>0</x:v>
      </x:c>
      <x:c r="S29" s="9" t="n">
        <x:f>MIN(MAX(0,'Sources &amp; Uses'!D22-S28),MAX(0,'Sources &amp; Uses'!D35-S12))</x:f>
        <x:v>0</x:v>
      </x:c>
      <x:c r="T29" s="9" t="n">
        <x:f>MIN(MAX(0,'Sources &amp; Uses'!D22-T28),MAX(0,'Sources &amp; Uses'!D35-T12))</x:f>
        <x:v>0</x:v>
      </x:c>
      <x:c r="U29" s="9" t="n">
        <x:f>MIN(MAX(0,'Sources &amp; Uses'!D22-U28),MAX(0,'Sources &amp; Uses'!D35-U12))</x:f>
        <x:v>0</x:v>
      </x:c>
      <x:c r="V29" s="9" t="n">
        <x:f>MIN(MAX(0,'Sources &amp; Uses'!D22-V28),MAX(0,'Sources &amp; Uses'!D35-V12))</x:f>
        <x:v>0</x:v>
      </x:c>
      <x:c r="W29" s="9" t="n">
        <x:f>MIN(MAX(0,'Sources &amp; Uses'!D22-W28),MAX(0,'Sources &amp; Uses'!D35-W12))</x:f>
        <x:v>0</x:v>
      </x:c>
      <x:c r="X29" s="9" t="n">
        <x:f>MIN(MAX(0,'Sources &amp; Uses'!D22-X28),MAX(0,'Sources &amp; Uses'!D35-X12))</x:f>
        <x:v>0</x:v>
      </x:c>
      <x:c r="Y29" s="9" t="n">
        <x:f>MIN(MAX(0,'Sources &amp; Uses'!D22-Y28),MAX(0,'Sources &amp; Uses'!D35-Y12))</x:f>
        <x:v>0</x:v>
      </x:c>
      <x:c r="Z29" s="9" t="n">
        <x:f>MIN(MAX(0,'Sources &amp; Uses'!D22-Z28),MAX(0,'Sources &amp; Uses'!D35-Z12))</x:f>
        <x:v>0</x:v>
      </x:c>
      <x:c r="AA29" s="9" t="n">
        <x:f>MIN(MAX(0,'Sources &amp; Uses'!D22-AA28),MAX(0,'Sources &amp; Uses'!D35-AA12))</x:f>
        <x:v>0</x:v>
      </x:c>
      <x:c r="AB29" s="9" t="n">
        <x:f>MIN(MAX(0,'Sources &amp; Uses'!D22-AB28),MAX(0,'Sources &amp; Uses'!D35-AB12))</x:f>
        <x:v>0</x:v>
      </x:c>
      <x:c r="AC29" s="9" t="n">
        <x:f>MIN(MAX(0,'Sources &amp; Uses'!D22-AC28),MAX(0,'Sources &amp; Uses'!D35-AC12))</x:f>
        <x:v>0</x:v>
      </x:c>
      <x:c r="AD29" s="9" t="n">
        <x:f>MIN(MAX(0,'Sources &amp; Uses'!D22-AD28),MAX(0,'Sources &amp; Uses'!D35-AD12))</x:f>
        <x:v>0</x:v>
      </x:c>
    </x:row>
    <x:row r="30" ht="20" customHeight="1">
      <x:c r="A30" s="2"/>
      <x:c r="B30" s="2"/>
      <x:c r="C30" s="2" t="str">
        <x:v>Cash above minimum</x:v>
      </x:c>
      <x:c r="D30" s="2" t="n">
        <x:f>N30</x:f>
        <x:v>84.592151808035</x:v>
      </x:c>
      <x:c r="E30" s="2" t="n">
        <x:f>R30</x:f>
        <x:v>94.14844703335663</x:v>
      </x:c>
      <x:c r="F30" s="2" t="n">
        <x:f>V30</x:f>
        <x:v>108.13478024498221</x:v>
      </x:c>
      <x:c r="G30" s="2" t="n">
        <x:f>Z30</x:f>
        <x:v>124.20663921812661</x:v>
      </x:c>
      <x:c r="H30" s="2" t="n">
        <x:f>AD30</x:f>
        <x:v>139.92660076413097</x:v>
      </x:c>
      <x:c r="I30" s="2"/>
      <x:c r="J30" s="2"/>
      <x:c r="K30" s="9" t="n">
        <x:f>MAX(0,K28+K29-'Sources &amp; Uses'!D22)</x:f>
        <x:v>10.414761091056441</x:v>
      </x:c>
      <x:c r="L30" s="9" t="n">
        <x:f>MAX(0,L28+L29-'Sources &amp; Uses'!D22)</x:f>
        <x:v>0</x:v>
      </x:c>
      <x:c r="M30" s="9" t="n">
        <x:f>MAX(0,M28+M29-'Sources &amp; Uses'!D22)</x:f>
        <x:v>0</x:v>
      </x:c>
      <x:c r="N30" s="9" t="n">
        <x:f>MAX(0,N28+N29-'Sources &amp; Uses'!D22)</x:f>
        <x:v>84.592151808035</x:v>
      </x:c>
      <x:c r="O30" s="9" t="n">
        <x:f>MAX(0,O28+O29-'Sources &amp; Uses'!D22)</x:f>
        <x:v>37.40849387481776</x:v>
      </x:c>
      <x:c r="P30" s="9" t="n">
        <x:f>MAX(0,P28+P29-'Sources &amp; Uses'!D22)</x:f>
        <x:v>0</x:v>
      </x:c>
      <x:c r="Q30" s="9" t="n">
        <x:f>MAX(0,Q28+Q29-'Sources &amp; Uses'!D22)</x:f>
        <x:v>2.497836483711744</x:v>
      </x:c>
      <x:c r="R30" s="9" t="n">
        <x:f>MAX(0,R28+R29-'Sources &amp; Uses'!D22)</x:f>
        <x:v>94.14844703335663</x:v>
      </x:c>
      <x:c r="S30" s="9" t="n">
        <x:f>MAX(0,S28+S29-'Sources &amp; Uses'!D22)</x:f>
        <x:v>57.248569682068016</x:v>
      </x:c>
      <x:c r="T30" s="9" t="n">
        <x:f>MAX(0,T28+T29-'Sources &amp; Uses'!D22)</x:f>
        <x:v>6.712390642866488</x:v>
      </x:c>
      <x:c r="U30" s="9" t="n">
        <x:f>MAX(0,U28+U29-'Sources &amp; Uses'!D22)</x:f>
        <x:v>16.36975767195704</x:v>
      </x:c>
      <x:c r="V30" s="9" t="n">
        <x:f>MAX(0,V28+V29-'Sources &amp; Uses'!D22)</x:f>
        <x:v>108.13478024498221</x:v>
      </x:c>
      <x:c r="W30" s="9" t="n">
        <x:f>MAX(0,W28+W29-'Sources &amp; Uses'!D22)</x:f>
        <x:v>58.19809453715859</x:v>
      </x:c>
      <x:c r="X30" s="9" t="n">
        <x:f>MAX(0,X28+X29-'Sources &amp; Uses'!D22)</x:f>
        <x:v>23.575864931154904</x:v>
      </x:c>
      <x:c r="Y30" s="9" t="n">
        <x:f>MAX(0,Y28+Y29-'Sources &amp; Uses'!D22)</x:f>
        <x:v>30.150541547555257</x:v>
      </x:c>
      <x:c r="Z30" s="9" t="n">
        <x:f>MAX(0,Z28+Z29-'Sources &amp; Uses'!D22)</x:f>
        <x:v>124.20663921812661</x:v>
      </x:c>
      <x:c r="AA30" s="9" t="n">
        <x:f>MAX(0,AA28+AA29-'Sources &amp; Uses'!D22)</x:f>
        <x:v>60.38315938368506</x:v>
      </x:c>
      <x:c r="AB30" s="9" t="n">
        <x:f>MAX(0,AB28+AB29-'Sources &amp; Uses'!D22)</x:f>
        <x:v>35.65846678437054</x:v>
      </x:c>
      <x:c r="AC30" s="9" t="n">
        <x:f>MAX(0,AC28+AC29-'Sources &amp; Uses'!D22)</x:f>
        <x:v>43.306410979879864</x:v>
      </x:c>
      <x:c r="AD30" s="9" t="n">
        <x:f>MAX(0,AD28+AD29-'Sources &amp; Uses'!D22)</x:f>
        <x:v>139.92660076413097</x:v>
      </x:c>
    </x:row>
    <x:row r="31" ht="20" customHeight="1">
      <x:c r="A31" s="2"/>
      <x:c r="B31" s="2"/>
      <x:c r="C31" s="2" t="str">
        <x:v>Revolver repayment</x:v>
      </x:c>
      <x:c r="D31" s="2" t="n">
        <x:f>SUM(K31:N31)</x:f>
        <x:v>13.90125378024991</x:v>
      </x:c>
      <x:c r="E31" s="2" t="n">
        <x:f>SUM(O31:R31)</x:f>
        <x:v>1.271393862960707</x:v>
      </x:c>
      <x:c r="F31" s="2" t="n">
        <x:f>SUM(S31:V31)</x:f>
        <x:v>0</x:v>
      </x:c>
      <x:c r="G31" s="2" t="n">
        <x:f>SUM(W31:Z31)</x:f>
        <x:v>0</x:v>
      </x:c>
      <x:c r="H31" s="2" t="n">
        <x:f>SUM(AA31:AD31)</x:f>
        <x:v>0</x:v>
      </x:c>
      <x:c r="I31" s="2"/>
      <x:c r="J31" s="2"/>
      <x:c r="K31" s="2" t="n">
        <x:f>MIN(K12,K30)</x:f>
        <x:v>0</x:v>
      </x:c>
      <x:c r="L31" s="2" t="n">
        <x:f>MIN(L12,L30)</x:f>
        <x:v>0</x:v>
      </x:c>
      <x:c r="M31" s="2" t="n">
        <x:f>MIN(M12,M30)</x:f>
        <x:v>0</x:v>
      </x:c>
      <x:c r="N31" s="2" t="n">
        <x:f>MIN(N12,N30)</x:f>
        <x:v>13.90125378024991</x:v>
      </x:c>
      <x:c r="O31" s="2" t="n">
        <x:f>MIN(O12,O30)</x:f>
        <x:v>0</x:v>
      </x:c>
      <x:c r="P31" s="2" t="n">
        <x:f>MIN(P12,P30)</x:f>
        <x:v>0</x:v>
      </x:c>
      <x:c r="Q31" s="2" t="n">
        <x:f>MIN(Q12,Q30)</x:f>
        <x:v>1.271393862960707</x:v>
      </x:c>
      <x:c r="R31" s="2" t="n">
        <x:f>MIN(R12,R30)</x:f>
        <x:v>0</x:v>
      </x:c>
      <x:c r="S31" s="2" t="n">
        <x:f>MIN(S12,S30)</x:f>
        <x:v>0</x:v>
      </x:c>
      <x:c r="T31" s="2" t="n">
        <x:f>MIN(T12,T30)</x:f>
        <x:v>0</x:v>
      </x:c>
      <x:c r="U31" s="2" t="n">
        <x:f>MIN(U12,U30)</x:f>
        <x:v>0</x:v>
      </x:c>
      <x:c r="V31" s="2" t="n">
        <x:f>MIN(V12,V30)</x:f>
        <x:v>0</x:v>
      </x:c>
      <x:c r="W31" s="2" t="n">
        <x:f>MIN(W12,W30)</x:f>
        <x:v>0</x:v>
      </x:c>
      <x:c r="X31" s="2" t="n">
        <x:f>MIN(X12,X30)</x:f>
        <x:v>0</x:v>
      </x:c>
      <x:c r="Y31" s="2" t="n">
        <x:f>MIN(Y12,Y30)</x:f>
        <x:v>0</x:v>
      </x:c>
      <x:c r="Z31" s="2" t="n">
        <x:f>MIN(Z12,Z30)</x:f>
        <x:v>0</x:v>
      </x:c>
      <x:c r="AA31" s="2" t="n">
        <x:f>MIN(AA12,AA30)</x:f>
        <x:v>0</x:v>
      </x:c>
      <x:c r="AB31" s="2" t="n">
        <x:f>MIN(AB12,AB30)</x:f>
        <x:v>0</x:v>
      </x:c>
      <x:c r="AC31" s="2" t="n">
        <x:f>MIN(AC12,AC30)</x:f>
        <x:v>0</x:v>
      </x:c>
      <x:c r="AD31" s="2" t="n">
        <x:f>MIN(AD12,AD30)</x:f>
        <x:v>0</x:v>
      </x:c>
    </x:row>
    <x:row r="32" ht="20" customHeight="1">
      <x:c r="A32" s="2"/>
      <x:c r="B32" s="2"/>
      <x:c r="C32" s="2" t="str">
        <x:v>Optional senior cash sweep</x:v>
      </x:c>
      <x:c r="D32" s="2" t="n">
        <x:f>SUM(K32:N32)</x:f>
        <x:v>81.10565911884154</x:v>
      </x:c>
      <x:c r="E32" s="2" t="n">
        <x:f>SUM(O32:R32)</x:f>
        <x:v>132.7833835289254</x:v>
      </x:c>
      <x:c r="F32" s="2" t="n">
        <x:f>SUM(S32:V32)</x:f>
        <x:v>188.46549824187375</x:v>
      </x:c>
      <x:c r="G32" s="2" t="n">
        <x:f>SUM(W32:Z32)</x:f>
        <x:v>236.13114023399535</x:v>
      </x:c>
      <x:c r="H32" s="2" t="n">
        <x:f>SUM(AA32:AD32)</x:f>
        <x:v>279.2746379120664</x:v>
      </x:c>
      <x:c r="I32" s="2"/>
      <x:c r="J32" s="2"/>
      <x:c r="K32" s="9" t="n">
        <x:f>MIN(MAX(0,K10-K26),MAX(0,K30-K31)*'Assumptions'!D28)</x:f>
        <x:v>10.414761091056441</x:v>
      </x:c>
      <x:c r="L32" s="9" t="n">
        <x:f>MIN(MAX(0,L10-L26),MAX(0,L30-L31)*'Assumptions'!D28)</x:f>
        <x:v>0</x:v>
      </x:c>
      <x:c r="M32" s="9" t="n">
        <x:f>MIN(MAX(0,M10-M26),MAX(0,M30-M31)*'Assumptions'!D28)</x:f>
        <x:v>0</x:v>
      </x:c>
      <x:c r="N32" s="9" t="n">
        <x:f>MIN(MAX(0,N10-N26),MAX(0,N30-N31)*'Assumptions'!D28)</x:f>
        <x:v>70.6908980277851</x:v>
      </x:c>
      <x:c r="O32" s="9" t="n">
        <x:f>MIN(MAX(0,O10-O26),MAX(0,O30-O31)*'Assumptions'!D28)</x:f>
        <x:v>37.40849387481776</x:v>
      </x:c>
      <x:c r="P32" s="9" t="n">
        <x:f>MIN(MAX(0,P10-P26),MAX(0,P30-P31)*'Assumptions'!D28)</x:f>
        <x:v>0</x:v>
      </x:c>
      <x:c r="Q32" s="9" t="n">
        <x:f>MIN(MAX(0,Q10-Q26),MAX(0,Q30-Q31)*'Assumptions'!D28)</x:f>
        <x:v>1.2264426207510368</x:v>
      </x:c>
      <x:c r="R32" s="9" t="n">
        <x:f>MIN(MAX(0,R10-R26),MAX(0,R30-R31)*'Assumptions'!D28)</x:f>
        <x:v>94.14844703335663</x:v>
      </x:c>
      <x:c r="S32" s="9" t="n">
        <x:f>MIN(MAX(0,S10-S26),MAX(0,S30-S31)*'Assumptions'!D28)</x:f>
        <x:v>57.248569682068016</x:v>
      </x:c>
      <x:c r="T32" s="9" t="n">
        <x:f>MIN(MAX(0,T10-T26),MAX(0,T30-T31)*'Assumptions'!D28)</x:f>
        <x:v>6.712390642866488</x:v>
      </x:c>
      <x:c r="U32" s="9" t="n">
        <x:f>MIN(MAX(0,U10-U26),MAX(0,U30-U31)*'Assumptions'!D28)</x:f>
        <x:v>16.36975767195704</x:v>
      </x:c>
      <x:c r="V32" s="9" t="n">
        <x:f>MIN(MAX(0,V10-V26),MAX(0,V30-V31)*'Assumptions'!D28)</x:f>
        <x:v>108.13478024498221</x:v>
      </x:c>
      <x:c r="W32" s="9" t="n">
        <x:f>MIN(MAX(0,W10-W26),MAX(0,W30-W31)*'Assumptions'!D28)</x:f>
        <x:v>58.19809453715859</x:v>
      </x:c>
      <x:c r="X32" s="9" t="n">
        <x:f>MIN(MAX(0,X10-X26),MAX(0,X30-X31)*'Assumptions'!D28)</x:f>
        <x:v>23.575864931154904</x:v>
      </x:c>
      <x:c r="Y32" s="9" t="n">
        <x:f>MIN(MAX(0,Y10-Y26),MAX(0,Y30-Y31)*'Assumptions'!D28)</x:f>
        <x:v>30.150541547555257</x:v>
      </x:c>
      <x:c r="Z32" s="9" t="n">
        <x:f>MIN(MAX(0,Z10-Z26),MAX(0,Z30-Z31)*'Assumptions'!D28)</x:f>
        <x:v>124.20663921812661</x:v>
      </x:c>
      <x:c r="AA32" s="9" t="n">
        <x:f>MIN(MAX(0,AA10-AA26),MAX(0,AA30-AA31)*'Assumptions'!D28)</x:f>
        <x:v>60.38315938368506</x:v>
      </x:c>
      <x:c r="AB32" s="9" t="n">
        <x:f>MIN(MAX(0,AB10-AB26),MAX(0,AB30-AB31)*'Assumptions'!D28)</x:f>
        <x:v>35.65846678437054</x:v>
      </x:c>
      <x:c r="AC32" s="9" t="n">
        <x:f>MIN(MAX(0,AC10-AC26),MAX(0,AC30-AC31)*'Assumptions'!D28)</x:f>
        <x:v>43.306410979879864</x:v>
      </x:c>
      <x:c r="AD32" s="9" t="n">
        <x:f>MIN(MAX(0,AD10-AD26),MAX(0,AD30-AD31)*'Assumptions'!D28)</x:f>
        <x:v>139.92660076413097</x:v>
      </x:c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 ht="20" customHeight="1">
      <x:c r="A34" s="2"/>
      <x:c r="B34" s="2"/>
      <x:c r="C34" s="2" t="str">
        <x:v>Ending senior debt</x:v>
      </x:c>
      <x:c r="D34" s="2" t="n">
        <x:f>N34</x:f>
        <x:v>1769.2043408811594</x:v>
      </x:c>
      <x:c r="E34" s="2" t="n">
        <x:f>R34</x:f>
        <x:v>1617.7309573522343</x:v>
      </x:c>
      <x:c r="F34" s="2" t="n">
        <x:f>V34</x:f>
        <x:v>1410.575459110361</x:v>
      </x:c>
      <x:c r="G34" s="2" t="n">
        <x:f>Z34</x:f>
        <x:v>1155.754318876366</x:v>
      </x:c>
      <x:c r="H34" s="2" t="n">
        <x:f>AD34</x:f>
        <x:v>857.7896809642997</x:v>
      </x:c>
      <x:c r="I34" s="2"/>
      <x:c r="J34" s="2"/>
      <x:c r="K34" s="2" t="n">
        <x:f>K10-K26-K32</x:f>
        <x:v>1853.9127389089442</x:v>
      </x:c>
      <x:c r="L34" s="2" t="n">
        <x:f>L10-L26-L32</x:f>
        <x:v>1849.2402389089443</x:v>
      </x:c>
      <x:c r="M34" s="2" t="n">
        <x:f>M10-M26-M32</x:f>
        <x:v>1844.5677389089444</x:v>
      </x:c>
      <x:c r="N34" s="2" t="n">
        <x:f>N10-N26-N32</x:f>
        <x:v>1769.2043408811594</x:v>
      </x:c>
      <x:c r="O34" s="2" t="n">
        <x:f>O10-O26-O32</x:f>
        <x:v>1727.1233470063416</x:v>
      </x:c>
      <x:c r="P34" s="2" t="n">
        <x:f>P10-P26-P32</x:f>
        <x:v>1722.4508470063417</x:v>
      </x:c>
      <x:c r="Q34" s="2" t="n">
        <x:f>Q10-Q26-Q32</x:f>
        <x:v>1716.551904385591</x:v>
      </x:c>
      <x:c r="R34" s="2" t="n">
        <x:f>R10-R26-R32</x:f>
        <x:v>1617.7309573522343</x:v>
      </x:c>
      <x:c r="S34" s="2" t="n">
        <x:f>S10-S26-S32</x:f>
        <x:v>1555.8098876701665</x:v>
      </x:c>
      <x:c r="T34" s="2" t="n">
        <x:f>T10-T26-T32</x:f>
        <x:v>1544.4249970273002</x:v>
      </x:c>
      <x:c r="U34" s="2" t="n">
        <x:f>U10-U26-U32</x:f>
        <x:v>1523.3827393553431</x:v>
      </x:c>
      <x:c r="V34" s="2" t="n">
        <x:f>V10-V26-V32</x:f>
        <x:v>1410.575459110361</x:v>
      </x:c>
      <x:c r="W34" s="2" t="n">
        <x:f>W10-W26-W32</x:f>
        <x:v>1347.7048645732025</x:v>
      </x:c>
      <x:c r="X34" s="2" t="n">
        <x:f>X10-X26-X32</x:f>
        <x:v>1319.4564996420477</x:v>
      </x:c>
      <x:c r="Y34" s="2" t="n">
        <x:f>Y10-Y26-Y32</x:f>
        <x:v>1284.6334580944924</x:v>
      </x:c>
      <x:c r="Z34" s="2" t="n">
        <x:f>Z10-Z26-Z32</x:f>
        <x:v>1155.754318876366</x:v>
      </x:c>
      <x:c r="AA34" s="2" t="n">
        <x:f>AA10-AA26-AA32</x:f>
        <x:v>1090.698659492681</x:v>
      </x:c>
      <x:c r="AB34" s="2" t="n">
        <x:f>AB10-AB26-AB32</x:f>
        <x:v>1050.3676927083104</x:v>
      </x:c>
      <x:c r="AC34" s="2" t="n">
        <x:f>AC10-AC26-AC32</x:f>
        <x:v>1002.3887817284307</x:v>
      </x:c>
      <x:c r="AD34" s="2" t="n">
        <x:f>AD10-AD26-AD32</x:f>
        <x:v>857.7896809642997</x:v>
      </x:c>
    </x:row>
    <x:row r="35" ht="20" customHeight="1">
      <x:c r="A35" s="2"/>
      <x:c r="B35" s="2"/>
      <x:c r="C35" s="2" t="str">
        <x:v>Ending junior debt</x:v>
      </x:c>
      <x:c r="D35" s="2" t="n">
        <x:f>N35</x:f>
        <x:v>534.0000000000001</x:v>
      </x:c>
      <x:c r="E35" s="2" t="n">
        <x:f>R35</x:f>
        <x:v>534.0000000000001</x:v>
      </x:c>
      <x:c r="F35" s="2" t="n">
        <x:f>V35</x:f>
        <x:v>534.0000000000001</x:v>
      </x:c>
      <x:c r="G35" s="2" t="n">
        <x:f>Z35</x:f>
        <x:v>534.0000000000001</x:v>
      </x:c>
      <x:c r="H35" s="2" t="n">
        <x:f>AD35</x:f>
        <x:v>534.0000000000001</x:v>
      </x:c>
      <x:c r="I35" s="2"/>
      <x:c r="J35" s="2"/>
      <x:c r="K35" s="2" t="n">
        <x:f>K11</x:f>
        <x:v>534.0000000000001</x:v>
      </x:c>
      <x:c r="L35" s="2" t="n">
        <x:f>L11</x:f>
        <x:v>534.0000000000001</x:v>
      </x:c>
      <x:c r="M35" s="2" t="n">
        <x:f>M11</x:f>
        <x:v>534.0000000000001</x:v>
      </x:c>
      <x:c r="N35" s="2" t="n">
        <x:f>N11</x:f>
        <x:v>534.0000000000001</x:v>
      </x:c>
      <x:c r="O35" s="2" t="n">
        <x:f>O11</x:f>
        <x:v>534.0000000000001</x:v>
      </x:c>
      <x:c r="P35" s="2" t="n">
        <x:f>P11</x:f>
        <x:v>534.0000000000001</x:v>
      </x:c>
      <x:c r="Q35" s="2" t="n">
        <x:f>Q11</x:f>
        <x:v>534.0000000000001</x:v>
      </x:c>
      <x:c r="R35" s="2" t="n">
        <x:f>R11</x:f>
        <x:v>534.0000000000001</x:v>
      </x:c>
      <x:c r="S35" s="2" t="n">
        <x:f>S11</x:f>
        <x:v>534.0000000000001</x:v>
      </x:c>
      <x:c r="T35" s="2" t="n">
        <x:f>T11</x:f>
        <x:v>534.0000000000001</x:v>
      </x:c>
      <x:c r="U35" s="2" t="n">
        <x:f>U11</x:f>
        <x:v>534.0000000000001</x:v>
      </x:c>
      <x:c r="V35" s="2" t="n">
        <x:f>V11</x:f>
        <x:v>534.0000000000001</x:v>
      </x:c>
      <x:c r="W35" s="2" t="n">
        <x:f>W11</x:f>
        <x:v>534.0000000000001</x:v>
      </x:c>
      <x:c r="X35" s="2" t="n">
        <x:f>X11</x:f>
        <x:v>534.0000000000001</x:v>
      </x:c>
      <x:c r="Y35" s="2" t="n">
        <x:f>Y11</x:f>
        <x:v>534.0000000000001</x:v>
      </x:c>
      <x:c r="Z35" s="2" t="n">
        <x:f>Z11</x:f>
        <x:v>534.0000000000001</x:v>
      </x:c>
      <x:c r="AA35" s="2" t="n">
        <x:f>AA11</x:f>
        <x:v>534.0000000000001</x:v>
      </x:c>
      <x:c r="AB35" s="2" t="n">
        <x:f>AB11</x:f>
        <x:v>534.0000000000001</x:v>
      </x:c>
      <x:c r="AC35" s="2" t="n">
        <x:f>AC11</x:f>
        <x:v>534.0000000000001</x:v>
      </x:c>
      <x:c r="AD35" s="2" t="n">
        <x:f>AD11</x:f>
        <x:v>534.0000000000001</x:v>
      </x:c>
    </x:row>
    <x:row r="36" ht="20" customHeight="1">
      <x:c r="A36" s="2"/>
      <x:c r="B36" s="2"/>
      <x:c r="C36" s="2" t="str">
        <x:v>Ending revolver</x:v>
      </x:c>
      <x:c r="D36" s="2" t="n">
        <x:f>N36</x:f>
        <x:v>0</x:v>
      </x:c>
      <x:c r="E36" s="2" t="n">
        <x:f>R36</x:f>
        <x:v>0</x:v>
      </x:c>
      <x:c r="F36" s="2" t="n">
        <x:f>V36</x:f>
        <x:v>0</x:v>
      </x:c>
      <x:c r="G36" s="2" t="n">
        <x:f>Z36</x:f>
        <x:v>0</x:v>
      </x:c>
      <x:c r="H36" s="2" t="n">
        <x:f>AD36</x:f>
        <x:v>0</x:v>
      </x:c>
      <x:c r="I36" s="2"/>
      <x:c r="J36" s="2"/>
      <x:c r="K36" s="2" t="n">
        <x:f>K12+K29-K31</x:f>
        <x:v>0</x:v>
      </x:c>
      <x:c r="L36" s="2" t="n">
        <x:f>L12+L29-L31</x:f>
        <x:v>8.515141447280634</x:v>
      </x:c>
      <x:c r="M36" s="2" t="n">
        <x:f>M12+M29-M31</x:f>
        <x:v>13.90125378024991</x:v>
      </x:c>
      <x:c r="N36" s="2" t="n">
        <x:f>N12+N29-N31</x:f>
        <x:v>0</x:v>
      </x:c>
      <x:c r="O36" s="2" t="n">
        <x:f>O12+O29-O31</x:f>
        <x:v>0</x:v>
      </x:c>
      <x:c r="P36" s="2" t="n">
        <x:f>P12+P29-P31</x:f>
        <x:v>1.271393862960707</x:v>
      </x:c>
      <x:c r="Q36" s="2" t="n">
        <x:f>Q12+Q29-Q31</x:f>
        <x:v>0</x:v>
      </x:c>
      <x:c r="R36" s="2" t="n">
        <x:f>R12+R29-R31</x:f>
        <x:v>0</x:v>
      </x:c>
      <x:c r="S36" s="2" t="n">
        <x:f>S12+S29-S31</x:f>
        <x:v>0</x:v>
      </x:c>
      <x:c r="T36" s="2" t="n">
        <x:f>T12+T29-T31</x:f>
        <x:v>0</x:v>
      </x:c>
      <x:c r="U36" s="2" t="n">
        <x:f>U12+U29-U31</x:f>
        <x:v>0</x:v>
      </x:c>
      <x:c r="V36" s="2" t="n">
        <x:f>V12+V29-V31</x:f>
        <x:v>0</x:v>
      </x:c>
      <x:c r="W36" s="2" t="n">
        <x:f>W12+W29-W31</x:f>
        <x:v>0</x:v>
      </x:c>
      <x:c r="X36" s="2" t="n">
        <x:f>X12+X29-X31</x:f>
        <x:v>0</x:v>
      </x:c>
      <x:c r="Y36" s="2" t="n">
        <x:f>Y12+Y29-Y31</x:f>
        <x:v>0</x:v>
      </x:c>
      <x:c r="Z36" s="2" t="n">
        <x:f>Z12+Z29-Z31</x:f>
        <x:v>0</x:v>
      </x:c>
      <x:c r="AA36" s="2" t="n">
        <x:f>AA12+AA29-AA31</x:f>
        <x:v>0</x:v>
      </x:c>
      <x:c r="AB36" s="2" t="n">
        <x:f>AB12+AB29-AB31</x:f>
        <x:v>0</x:v>
      </x:c>
      <x:c r="AC36" s="2" t="n">
        <x:f>AC12+AC29-AC31</x:f>
        <x:v>0</x:v>
      </x:c>
      <x:c r="AD36" s="2" t="n">
        <x:f>AD12+AD29-AD31</x:f>
        <x:v>0</x:v>
      </x:c>
    </x:row>
    <x:row r="37" ht="20" customHeight="1">
      <x:c r="A37" s="2"/>
      <x:c r="B37" s="2"/>
      <x:c r="C37" s="2" t="str">
        <x:v>Ending finance leases</x:v>
      </x:c>
      <x:c r="D37" s="2" t="n">
        <x:f>N37</x:f>
        <x:v>48.425</x:v>
      </x:c>
      <x:c r="E37" s="2" t="n">
        <x:f>R37</x:f>
        <x:v>46.925</x:v>
      </x:c>
      <x:c r="F37" s="2" t="n">
        <x:f>V37</x:f>
        <x:v>45.425</x:v>
      </x:c>
      <x:c r="G37" s="2" t="n">
        <x:f>Z37</x:f>
        <x:v>43.925</x:v>
      </x:c>
      <x:c r="H37" s="2" t="n">
        <x:f>AD37</x:f>
        <x:v>42.425</x:v>
      </x:c>
      <x:c r="I37" s="2"/>
      <x:c r="J37" s="2"/>
      <x:c r="K37" s="2" t="n">
        <x:f>K13-K27</x:f>
        <x:v>49.55</x:v>
      </x:c>
      <x:c r="L37" s="2" t="n">
        <x:f>L13-L27</x:f>
        <x:v>49.175</x:v>
      </x:c>
      <x:c r="M37" s="2" t="n">
        <x:f>M13-M27</x:f>
        <x:v>48.8</x:v>
      </x:c>
      <x:c r="N37" s="2" t="n">
        <x:f>N13-N27</x:f>
        <x:v>48.425</x:v>
      </x:c>
      <x:c r="O37" s="2" t="n">
        <x:f>O13-O27</x:f>
        <x:v>48.05</x:v>
      </x:c>
      <x:c r="P37" s="2" t="n">
        <x:f>P13-P27</x:f>
        <x:v>47.675</x:v>
      </x:c>
      <x:c r="Q37" s="2" t="n">
        <x:f>Q13-Q27</x:f>
        <x:v>47.3</x:v>
      </x:c>
      <x:c r="R37" s="2" t="n">
        <x:f>R13-R27</x:f>
        <x:v>46.925</x:v>
      </x:c>
      <x:c r="S37" s="2" t="n">
        <x:f>S13-S27</x:f>
        <x:v>46.55</x:v>
      </x:c>
      <x:c r="T37" s="2" t="n">
        <x:f>T13-T27</x:f>
        <x:v>46.175</x:v>
      </x:c>
      <x:c r="U37" s="2" t="n">
        <x:f>U13-U27</x:f>
        <x:v>45.8</x:v>
      </x:c>
      <x:c r="V37" s="2" t="n">
        <x:f>V13-V27</x:f>
        <x:v>45.425</x:v>
      </x:c>
      <x:c r="W37" s="2" t="n">
        <x:f>W13-W27</x:f>
        <x:v>45.05</x:v>
      </x:c>
      <x:c r="X37" s="2" t="n">
        <x:f>X13-X27</x:f>
        <x:v>44.675</x:v>
      </x:c>
      <x:c r="Y37" s="2" t="n">
        <x:f>Y13-Y27</x:f>
        <x:v>44.3</x:v>
      </x:c>
      <x:c r="Z37" s="2" t="n">
        <x:f>Z13-Z27</x:f>
        <x:v>43.925</x:v>
      </x:c>
      <x:c r="AA37" s="2" t="n">
        <x:f>AA13-AA27</x:f>
        <x:v>43.55</x:v>
      </x:c>
      <x:c r="AB37" s="2" t="n">
        <x:f>AB13-AB27</x:f>
        <x:v>43.175</x:v>
      </x:c>
      <x:c r="AC37" s="2" t="n">
        <x:f>AC13-AC27</x:f>
        <x:v>42.8</x:v>
      </x:c>
      <x:c r="AD37" s="2" t="n">
        <x:f>AD13-AD27</x:f>
        <x:v>42.425</x:v>
      </x:c>
    </x:row>
    <x:row r="38" ht="20" customHeight="1">
      <x:c r="A38" s="2"/>
      <x:c r="B38" s="2"/>
      <x:c r="C38" s="2" t="str">
        <x:v>Ending cash</x:v>
      </x:c>
      <x:c r="D38" s="2" t="n">
        <x:f>N38</x:f>
        <x:v>59.054</x:v>
      </x:c>
      <x:c r="E38" s="2" t="n">
        <x:f>R38</x:f>
        <x:v>59.054</x:v>
      </x:c>
      <x:c r="F38" s="2" t="n">
        <x:f>V38</x:f>
        <x:v>59.054</x:v>
      </x:c>
      <x:c r="G38" s="2" t="n">
        <x:f>Z38</x:f>
        <x:v>59.054</x:v>
      </x:c>
      <x:c r="H38" s="2" t="n">
        <x:f>AD38</x:f>
        <x:v>59.054</x:v>
      </x:c>
      <x:c r="I38" s="2"/>
      <x:c r="J38" s="2"/>
      <x:c r="K38" s="2" t="n">
        <x:f>K28+K29-K31-K32</x:f>
        <x:v>59.053999999999995</x:v>
      </x:c>
      <x:c r="L38" s="2" t="n">
        <x:f>L28+L29-L31-L32</x:f>
        <x:v>59.053999999999995</x:v>
      </x:c>
      <x:c r="M38" s="2" t="n">
        <x:f>M28+M29-M31-M32</x:f>
        <x:v>59.053999999999995</x:v>
      </x:c>
      <x:c r="N38" s="2" t="n">
        <x:f>N28+N29-N31-N32</x:f>
        <x:v>59.054</x:v>
      </x:c>
      <x:c r="O38" s="2" t="n">
        <x:f>O28+O29-O31-O32</x:f>
        <x:v>59.053999999999995</x:v>
      </x:c>
      <x:c r="P38" s="2" t="n">
        <x:f>P28+P29-P31-P32</x:f>
        <x:v>59.053999999999995</x:v>
      </x:c>
      <x:c r="Q38" s="2" t="n">
        <x:f>Q28+Q29-Q31-Q32</x:f>
        <x:v>59.053999999999995</x:v>
      </x:c>
      <x:c r="R38" s="2" t="n">
        <x:f>R28+R29-R31-R32</x:f>
        <x:v>59.054</x:v>
      </x:c>
      <x:c r="S38" s="2" t="n">
        <x:f>S28+S29-S31-S32</x:f>
        <x:v>59.053999999999995</x:v>
      </x:c>
      <x:c r="T38" s="2" t="n">
        <x:f>T28+T29-T31-T32</x:f>
        <x:v>59.053999999999995</x:v>
      </x:c>
      <x:c r="U38" s="2" t="n">
        <x:f>U28+U29-U31-U32</x:f>
        <x:v>59.053999999999995</x:v>
      </x:c>
      <x:c r="V38" s="2" t="n">
        <x:f>V28+V29-V31-V32</x:f>
        <x:v>59.054</x:v>
      </x:c>
      <x:c r="W38" s="2" t="n">
        <x:f>W28+W29-W31-W32</x:f>
        <x:v>59.053999999999995</x:v>
      </x:c>
      <x:c r="X38" s="2" t="n">
        <x:f>X28+X29-X31-X32</x:f>
        <x:v>59.053999999999995</x:v>
      </x:c>
      <x:c r="Y38" s="2" t="n">
        <x:f>Y28+Y29-Y31-Y32</x:f>
        <x:v>59.053999999999995</x:v>
      </x:c>
      <x:c r="Z38" s="2" t="n">
        <x:f>Z28+Z29-Z31-Z32</x:f>
        <x:v>59.054</x:v>
      </x:c>
      <x:c r="AA38" s="2" t="n">
        <x:f>AA28+AA29-AA31-AA32</x:f>
        <x:v>59.053999999999995</x:v>
      </x:c>
      <x:c r="AB38" s="2" t="n">
        <x:f>AB28+AB29-AB31-AB32</x:f>
        <x:v>59.053999999999995</x:v>
      </x:c>
      <x:c r="AC38" s="2" t="n">
        <x:f>AC28+AC29-AC31-AC32</x:f>
        <x:v>59.053999999999995</x:v>
      </x:c>
      <x:c r="AD38" s="2" t="n">
        <x:f>AD28+AD29-AD31-AD32</x:f>
        <x:v>59.054</x:v>
      </x:c>
    </x:row>
    <x:row r="39" ht="20" customHeight="1">
      <x:c r="A39" s="2"/>
      <x:c r="B39" s="2"/>
      <x:c r="C39" s="2" t="str">
        <x:v>Unfunded minimum-cash shortfall</x:v>
      </x:c>
      <x:c r="D39" s="2" t="n">
        <x:f>MAX(K39:N39)</x:f>
        <x:v>0</x:v>
      </x:c>
      <x:c r="E39" s="2" t="n">
        <x:f>MAX(O39:R39)</x:f>
        <x:v>0</x:v>
      </x:c>
      <x:c r="F39" s="2" t="n">
        <x:f>MAX(S39:V39)</x:f>
        <x:v>0</x:v>
      </x:c>
      <x:c r="G39" s="2" t="n">
        <x:f>MAX(W39:Z39)</x:f>
        <x:v>0</x:v>
      </x:c>
      <x:c r="H39" s="2" t="n">
        <x:f>MAX(AA39:AD39)</x:f>
        <x:v>0</x:v>
      </x:c>
      <x:c r="I39" s="2"/>
      <x:c r="J39" s="2"/>
      <x:c r="K39" s="9" t="n">
        <x:f>MAX(0,'Sources &amp; Uses'!D22-K38)</x:f>
        <x:v>0</x:v>
      </x:c>
      <x:c r="L39" s="9" t="n">
        <x:f>MAX(0,'Sources &amp; Uses'!D22-L38)</x:f>
        <x:v>0</x:v>
      </x:c>
      <x:c r="M39" s="9" t="n">
        <x:f>MAX(0,'Sources &amp; Uses'!D22-M38)</x:f>
        <x:v>0</x:v>
      </x:c>
      <x:c r="N39" s="9" t="n">
        <x:f>MAX(0,'Sources &amp; Uses'!D22-N38)</x:f>
        <x:v>0</x:v>
      </x:c>
      <x:c r="O39" s="9" t="n">
        <x:f>MAX(0,'Sources &amp; Uses'!D22-O38)</x:f>
        <x:v>0</x:v>
      </x:c>
      <x:c r="P39" s="9" t="n">
        <x:f>MAX(0,'Sources &amp; Uses'!D22-P38)</x:f>
        <x:v>0</x:v>
      </x:c>
      <x:c r="Q39" s="9" t="n">
        <x:f>MAX(0,'Sources &amp; Uses'!D22-Q38)</x:f>
        <x:v>0</x:v>
      </x:c>
      <x:c r="R39" s="9" t="n">
        <x:f>MAX(0,'Sources &amp; Uses'!D22-R38)</x:f>
        <x:v>0</x:v>
      </x:c>
      <x:c r="S39" s="9" t="n">
        <x:f>MAX(0,'Sources &amp; Uses'!D22-S38)</x:f>
        <x:v>0</x:v>
      </x:c>
      <x:c r="T39" s="9" t="n">
        <x:f>MAX(0,'Sources &amp; Uses'!D22-T38)</x:f>
        <x:v>0</x:v>
      </x:c>
      <x:c r="U39" s="9" t="n">
        <x:f>MAX(0,'Sources &amp; Uses'!D22-U38)</x:f>
        <x:v>0</x:v>
      </x:c>
      <x:c r="V39" s="9" t="n">
        <x:f>MAX(0,'Sources &amp; Uses'!D22-V38)</x:f>
        <x:v>0</x:v>
      </x:c>
      <x:c r="W39" s="9" t="n">
        <x:f>MAX(0,'Sources &amp; Uses'!D22-W38)</x:f>
        <x:v>0</x:v>
      </x:c>
      <x:c r="X39" s="9" t="n">
        <x:f>MAX(0,'Sources &amp; Uses'!D22-X38)</x:f>
        <x:v>0</x:v>
      </x:c>
      <x:c r="Y39" s="9" t="n">
        <x:f>MAX(0,'Sources &amp; Uses'!D22-Y38)</x:f>
        <x:v>0</x:v>
      </x:c>
      <x:c r="Z39" s="9" t="n">
        <x:f>MAX(0,'Sources &amp; Uses'!D22-Z38)</x:f>
        <x:v>0</x:v>
      </x:c>
      <x:c r="AA39" s="9" t="n">
        <x:f>MAX(0,'Sources &amp; Uses'!D22-AA38)</x:f>
        <x:v>0</x:v>
      </x:c>
      <x:c r="AB39" s="9" t="n">
        <x:f>MAX(0,'Sources &amp; Uses'!D22-AB38)</x:f>
        <x:v>0</x:v>
      </x:c>
      <x:c r="AC39" s="9" t="n">
        <x:f>MAX(0,'Sources &amp; Uses'!D22-AC38)</x:f>
        <x:v>0</x:v>
      </x:c>
      <x:c r="AD39" s="9" t="n">
        <x:f>MAX(0,'Sources &amp; Uses'!D22-AD38)</x:f>
        <x:v>0</x:v>
      </x:c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 ht="20" customHeight="1">
      <x:c r="A41" s="2"/>
      <x:c r="B41" s="2"/>
      <x:c r="C41" s="2" t="str">
        <x:v>Opening senior issuance fees</x:v>
      </x:c>
      <x:c r="D41" s="2" t="n">
        <x:f>K41</x:f>
        <x:v>37.38000000000001</x:v>
      </x:c>
      <x:c r="E41" s="2" t="n">
        <x:f>O41</x:f>
        <x:v>29.43945861252226</x:v>
      </x:c>
      <x:c r="F41" s="2" t="n">
        <x:f>S41</x:f>
        <x:v>21.105302759802086</x:v>
      </x:c>
      <x:c r="G41" s="2" t="n">
        <x:f>W41</x:f>
        <x:v>12.767854185781454</x:v>
      </x:c>
      <x:c r="H41" s="2" t="n">
        <x:f>AA41</x:f>
        <x:v>5.084019306829478</x:v>
      </x:c>
      <x:c r="I41" s="2"/>
      <x:c r="J41" s="2"/>
      <x:c r="K41" s="9" t="n">
        <x:f>'Sources &amp; Uses'!D28*'Assumptions'!D16</x:f>
        <x:v>37.38000000000001</x:v>
      </x:c>
      <x:c r="L41" s="2" t="n">
        <x:f>K49</x:f>
        <x:v>35.53332749575476</x:v>
      </x:c>
      <x:c r="M41" s="2" t="n">
        <x:f>L49</x:f>
        <x:v>33.890196683342666</x:v>
      </x:c>
      <x:c r="N41" s="2" t="n">
        <x:f>M49</x:f>
        <x:v>32.251001226974026</x:v>
      </x:c>
      <x:c r="O41" s="2" t="n">
        <x:f>N49</x:f>
        <x:v>29.43945861252226</x:v>
      </x:c>
      <x:c r="P41" s="2" t="n">
        <x:f>O49</x:f>
        <x:v>27.218778841548428</x:v>
      </x:c>
      <x:c r="Q41" s="2" t="n">
        <x:f>P49</x:f>
        <x:v>25.59185570185492</x:v>
      </x:c>
      <x:c r="R41" s="2" t="n">
        <x:f>Q49</x:f>
        <x:v>23.952044334039478</x:v>
      </x:c>
      <x:c r="S41" s="2" t="n">
        <x:f>R49</x:f>
        <x:v>21.105302759802086</x:v>
      </x:c>
      <x:c r="T41" s="2" t="n">
        <x:f>S49</x:f>
        <x:v>18.79958139992767</x:v>
      </x:c>
      <x:c r="U41" s="2" t="n">
        <x:f>T49</x:f>
        <x:v>17.1159096788522</x:v>
      </x:c>
      <x:c r="V41" s="2" t="n">
        <x:f>U49</x:f>
        <x:v>15.346431715494688</x:v>
      </x:c>
      <x:c r="W41" s="2" t="n">
        <x:f>V49</x:f>
        <x:v>12.767854185781454</x:v>
      </x:c>
      <x:c r="X41" s="2" t="n">
        <x:f>W49</x:f>
        <x:v>10.71069879472799</x:v>
      </x:c>
      <x:c r="Y41" s="2" t="n">
        <x:f>X49</x:f>
        <x:v>8.961344549308489</x:v>
      </x:c>
      <x:c r="Z41" s="2" t="n">
        <x:f>Y49</x:f>
        <x:v>7.20844258916645</x:v>
      </x:c>
      <x:c r="AA41" s="2" t="n">
        <x:f>Z49</x:f>
        <x:v>5.084019306829478</x:v>
      </x:c>
      <x:c r="AB41" s="2" t="n">
        <x:f>AA49</x:f>
        <x:v>3.3280168785122455</x:v>
      </x:c>
      <x:c r="AC41" s="2" t="n">
        <x:f>AB49</x:f>
        <x:v>1.7050481472573096</x:v>
      </x:c>
      <x:c r="AD41" s="2" t="n">
        <x:f>AC49</x:f>
        <x:v>0.14080841271325512</x:v>
      </x:c>
    </x:row>
    <x:row r="42" ht="20" customHeight="1">
      <x:c r="A42" s="2"/>
      <x:c r="B42" s="2"/>
      <x:c r="C42" s="2" t="str">
        <x:v>Scheduled senior fee amortization</x:v>
      </x:c>
      <x:c r="D42" s="2" t="n">
        <x:f>SUM(K42:N42)</x:f>
        <x:v>6.230000000000001</x:v>
      </x:c>
      <x:c r="E42" s="2" t="n">
        <x:f>SUM(O42:R42)</x:f>
        <x:v>6.230000000000001</x:v>
      </x:c>
      <x:c r="F42" s="2" t="n">
        <x:f>SUM(S42:V42)</x:f>
        <x:v>6.230000000000001</x:v>
      </x:c>
      <x:c r="G42" s="2" t="n">
        <x:f>SUM(W42:Z42)</x:f>
        <x:v>6.230000000000001</x:v>
      </x:c>
      <x:c r="H42" s="2" t="n">
        <x:f>SUM(AA42:AD42)</x:f>
        <x:v>4.813308412713257</x:v>
      </x:c>
      <x:c r="I42" s="2"/>
      <x:c r="J42" s="2"/>
      <x:c r="K42" s="9" t="n">
        <x:f>MIN(K41,'Sources &amp; Uses'!D28*'Assumptions'!D16/'Assumptions'!D29/4)</x:f>
        <x:v>1.5575000000000003</x:v>
      </x:c>
      <x:c r="L42" s="9" t="n">
        <x:f>MIN(L41,'Sources &amp; Uses'!D28*'Assumptions'!D16/'Assumptions'!D29/4)</x:f>
        <x:v>1.5575000000000003</x:v>
      </x:c>
      <x:c r="M42" s="9" t="n">
        <x:f>MIN(M41,'Sources &amp; Uses'!D28*'Assumptions'!D16/'Assumptions'!D29/4)</x:f>
        <x:v>1.5575000000000003</x:v>
      </x:c>
      <x:c r="N42" s="9" t="n">
        <x:f>MIN(N41,'Sources &amp; Uses'!D28*'Assumptions'!D16/'Assumptions'!D29/4)</x:f>
        <x:v>1.5575000000000003</x:v>
      </x:c>
      <x:c r="O42" s="9" t="n">
        <x:f>MIN(O41,'Sources &amp; Uses'!D28*'Assumptions'!D16/'Assumptions'!D29/4)</x:f>
        <x:v>1.5575000000000003</x:v>
      </x:c>
      <x:c r="P42" s="9" t="n">
        <x:f>MIN(P41,'Sources &amp; Uses'!D28*'Assumptions'!D16/'Assumptions'!D29/4)</x:f>
        <x:v>1.5575000000000003</x:v>
      </x:c>
      <x:c r="Q42" s="9" t="n">
        <x:f>MIN(Q41,'Sources &amp; Uses'!D28*'Assumptions'!D16/'Assumptions'!D29/4)</x:f>
        <x:v>1.5575000000000003</x:v>
      </x:c>
      <x:c r="R42" s="9" t="n">
        <x:f>MIN(R41,'Sources &amp; Uses'!D28*'Assumptions'!D16/'Assumptions'!D29/4)</x:f>
        <x:v>1.5575000000000003</x:v>
      </x:c>
      <x:c r="S42" s="9" t="n">
        <x:f>MIN(S41,'Sources &amp; Uses'!D28*'Assumptions'!D16/'Assumptions'!D29/4)</x:f>
        <x:v>1.5575000000000003</x:v>
      </x:c>
      <x:c r="T42" s="9" t="n">
        <x:f>MIN(T41,'Sources &amp; Uses'!D28*'Assumptions'!D16/'Assumptions'!D29/4)</x:f>
        <x:v>1.5575000000000003</x:v>
      </x:c>
      <x:c r="U42" s="9" t="n">
        <x:f>MIN(U41,'Sources &amp; Uses'!D28*'Assumptions'!D16/'Assumptions'!D29/4)</x:f>
        <x:v>1.5575000000000003</x:v>
      </x:c>
      <x:c r="V42" s="9" t="n">
        <x:f>MIN(V41,'Sources &amp; Uses'!D28*'Assumptions'!D16/'Assumptions'!D29/4)</x:f>
        <x:v>1.5575000000000003</x:v>
      </x:c>
      <x:c r="W42" s="9" t="n">
        <x:f>MIN(W41,'Sources &amp; Uses'!D28*'Assumptions'!D16/'Assumptions'!D29/4)</x:f>
        <x:v>1.5575000000000003</x:v>
      </x:c>
      <x:c r="X42" s="9" t="n">
        <x:f>MIN(X41,'Sources &amp; Uses'!D28*'Assumptions'!D16/'Assumptions'!D29/4)</x:f>
        <x:v>1.5575000000000003</x:v>
      </x:c>
      <x:c r="Y42" s="9" t="n">
        <x:f>MIN(Y41,'Sources &amp; Uses'!D28*'Assumptions'!D16/'Assumptions'!D29/4)</x:f>
        <x:v>1.5575000000000003</x:v>
      </x:c>
      <x:c r="Z42" s="9" t="n">
        <x:f>MIN(Z41,'Sources &amp; Uses'!D28*'Assumptions'!D16/'Assumptions'!D29/4)</x:f>
        <x:v>1.5575000000000003</x:v>
      </x:c>
      <x:c r="AA42" s="9" t="n">
        <x:f>MIN(AA41,'Sources &amp; Uses'!D28*'Assumptions'!D16/'Assumptions'!D29/4)</x:f>
        <x:v>1.5575000000000003</x:v>
      </x:c>
      <x:c r="AB42" s="9" t="n">
        <x:f>MIN(AB41,'Sources &amp; Uses'!D28*'Assumptions'!D16/'Assumptions'!D29/4)</x:f>
        <x:v>1.5575000000000003</x:v>
      </x:c>
      <x:c r="AC42" s="9" t="n">
        <x:f>MIN(AC41,'Sources &amp; Uses'!D28*'Assumptions'!D16/'Assumptions'!D29/4)</x:f>
        <x:v>1.5575000000000003</x:v>
      </x:c>
      <x:c r="AD42" s="9" t="n">
        <x:f>MIN(AD41,'Sources &amp; Uses'!D28*'Assumptions'!D16/'Assumptions'!D29/4)</x:f>
        <x:v>0.14080841271325512</x:v>
      </x:c>
    </x:row>
    <x:row r="43" ht="20" customHeight="1">
      <x:c r="A43" s="2"/>
      <x:c r="B43" s="2"/>
      <x:c r="C43" s="2" t="str">
        <x:v>Senior fee write-off on repayment</x:v>
      </x:c>
      <x:c r="D43" s="2" t="n">
        <x:f>SUM(K43:N43)</x:f>
        <x:v>1.7105413874777535</x:v>
      </x:c>
      <x:c r="E43" s="2" t="n">
        <x:f>SUM(O43:R43)</x:f>
        <x:v>2.10415585272017</x:v>
      </x:c>
      <x:c r="F43" s="2" t="n">
        <x:f>SUM(S43:V43)</x:f>
        <x:v>2.1074485740206295</x:v>
      </x:c>
      <x:c r="G43" s="2" t="n">
        <x:f>SUM(W43:Z43)</x:f>
        <x:v>1.4538348789519744</x:v>
      </x:c>
      <x:c r="H43" s="2" t="n">
        <x:f>SUM(AA43:AD43)</x:f>
        <x:v>0.2707108941162221</x:v>
      </x:c>
      <x:c r="I43" s="2"/>
      <x:c r="J43" s="2"/>
      <x:c r="K43" s="2" t="n">
        <x:f>IF(K10&gt;0,(K41-K42)*(K26+K32)/K10,0)</x:f>
        <x:v>0.28917250424524854</x:v>
      </x:c>
      <x:c r="L43" s="2" t="n">
        <x:f>IF(L10&gt;0,(L41-L42)*(L26+L32)/L10,0)</x:f>
        <x:v>0.08563081241209991</x:v>
      </x:c>
      <x:c r="M43" s="2" t="n">
        <x:f>IF(M10&gt;0,(M41-M42)*(M26+M32)/M10,0)</x:f>
        <x:v>0.08169545636863977</x:v>
      </x:c>
      <x:c r="N43" s="2" t="n">
        <x:f>IF(N10&gt;0,(N41-N42)*(N26+N32)/N10,0)</x:f>
        <x:v>1.2540426144517653</x:v>
      </x:c>
      <x:c r="O43" s="2" t="n">
        <x:f>IF(O10&gt;0,(O41-O42)*(O26+O32)/O10,0)</x:f>
        <x:v>0.663179770973829</x:v>
      </x:c>
      <x:c r="P43" s="2" t="n">
        <x:f>IF(P10&gt;0,(P41-P42)*(P26+P32)/P10,0)</x:f>
        <x:v>0.06942313969350493</x:v>
      </x:c>
      <x:c r="Q43" s="2" t="n">
        <x:f>IF(Q10&gt;0,(Q41-Q42)*(Q26+Q32)/Q10,0)</x:f>
        <x:v>0.08231136781544439</x:v>
      </x:c>
      <x:c r="R43" s="2" t="n">
        <x:f>IF(R10&gt;0,(R41-R42)*(R26+R32)/R10,0)</x:f>
        <x:v>1.2892415742373917</x:v>
      </x:c>
      <x:c r="S43" s="2" t="n">
        <x:f>IF(S10&gt;0,(S41-S42)*(S26+S32)/S10,0)</x:f>
        <x:v>0.748221359874414</x:v>
      </x:c>
      <x:c r="T43" s="2" t="n">
        <x:f>IF(T10&gt;0,(T41-T42)*(T26+T32)/T10,0)</x:f>
        <x:v>0.1261717210754702</x:v>
      </x:c>
      <x:c r="U43" s="2" t="n">
        <x:f>IF(U10&gt;0,(U41-U42)*(U26+U32)/U10,0)</x:f>
        <x:v>0.21197796335751182</x:v>
      </x:c>
      <x:c r="V43" s="2" t="n">
        <x:f>IF(V10&gt;0,(V41-V42)*(V26+V32)/V10,0)</x:f>
        <x:v>1.0210775297132335</x:v>
      </x:c>
      <x:c r="W43" s="2" t="n">
        <x:f>IF(W10&gt;0,(W41-W42)*(W26+W32)/W10,0)</x:f>
        <x:v>0.4996553910534622</x:v>
      </x:c>
      <x:c r="X43" s="2" t="n">
        <x:f>IF(X10&gt;0,(X41-X42)*(X26+X32)/X10,0)</x:f>
        <x:v>0.1918542454195017</x:v>
      </x:c>
      <x:c r="Y43" s="2" t="n">
        <x:f>IF(Y10&gt;0,(Y41-Y42)*(Y26+Y32)/Y10,0)</x:f>
        <x:v>0.19540196014203923</x:v>
      </x:c>
      <x:c r="Z43" s="2" t="n">
        <x:f>IF(Z10&gt;0,(Z41-Z42)*(Z26+Z32)/Z10,0)</x:f>
        <x:v>0.5669232823369713</x:v>
      </x:c>
      <x:c r="AA43" s="2" t="n">
        <x:f>IF(AA10&gt;0,(AA41-AA42)*(AA26+AA32)/AA10,0)</x:f>
        <x:v>0.19850242831723247</x:v>
      </x:c>
      <x:c r="AB43" s="2" t="n">
        <x:f>IF(AB10&gt;0,(AB41-AB42)*(AB26+AB32)/AB10,0)</x:f>
        <x:v>0.06546873125493553</x:v>
      </x:c>
      <x:c r="AC43" s="2" t="n">
        <x:f>IF(AC10&gt;0,(AC41-AC42)*(AC26+AC32)/AC10,0)</x:f>
        <x:v>0.006739734544054142</x:v>
      </x:c>
      <x:c r="AD43" s="2" t="n">
        <x:f>IF(AD10&gt;0,(AD41-AD42)*(AD26+AD32)/AD10,0)</x:f>
        <x:v>0</x:v>
      </x:c>
    </x:row>
    <x:row r="44" ht="20" customHeight="1">
      <x:c r="A44" s="2"/>
      <x:c r="B44" s="2"/>
      <x:c r="C44" s="2" t="str">
        <x:v>Junior fee amortization</x:v>
      </x:c>
      <x:c r="D44" s="2" t="n">
        <x:f>SUM(K44:N44)</x:f>
        <x:v>1.7800000000000005</x:v>
      </x:c>
      <x:c r="E44" s="2" t="n">
        <x:f>SUM(O44:R44)</x:f>
        <x:v>1.7800000000000005</x:v>
      </x:c>
      <x:c r="F44" s="2" t="n">
        <x:f>SUM(S44:V44)</x:f>
        <x:v>1.7800000000000005</x:v>
      </x:c>
      <x:c r="G44" s="2" t="n">
        <x:f>SUM(W44:Z44)</x:f>
        <x:v>1.7800000000000005</x:v>
      </x:c>
      <x:c r="H44" s="2" t="n">
        <x:f>SUM(AA44:AD44)</x:f>
        <x:v>1.7800000000000005</x:v>
      </x:c>
      <x:c r="I44" s="2"/>
      <x:c r="J44" s="2"/>
      <x:c r="K44" s="9" t="n">
        <x:f>MIN('Sources &amp; Uses'!D29*'Assumptions'!D16,'Sources &amp; Uses'!D29*'Assumptions'!D16/'Assumptions'!D29/4)</x:f>
        <x:v>0.4450000000000001</x:v>
      </x:c>
      <x:c r="L44" s="9" t="n">
        <x:f>MIN(K50,'Sources &amp; Uses'!D29*'Assumptions'!D16/'Assumptions'!D29/4)</x:f>
        <x:v>0.4450000000000001</x:v>
      </x:c>
      <x:c r="M44" s="9" t="n">
        <x:f>MIN(L50,'Sources &amp; Uses'!D29*'Assumptions'!D16/'Assumptions'!D29/4)</x:f>
        <x:v>0.4450000000000001</x:v>
      </x:c>
      <x:c r="N44" s="9" t="n">
        <x:f>MIN(M50,'Sources &amp; Uses'!D29*'Assumptions'!D16/'Assumptions'!D29/4)</x:f>
        <x:v>0.4450000000000001</x:v>
      </x:c>
      <x:c r="O44" s="9" t="n">
        <x:f>MIN(N50,'Sources &amp; Uses'!D29*'Assumptions'!D16/'Assumptions'!D29/4)</x:f>
        <x:v>0.4450000000000001</x:v>
      </x:c>
      <x:c r="P44" s="9" t="n">
        <x:f>MIN(O50,'Sources &amp; Uses'!D29*'Assumptions'!D16/'Assumptions'!D29/4)</x:f>
        <x:v>0.4450000000000001</x:v>
      </x:c>
      <x:c r="Q44" s="9" t="n">
        <x:f>MIN(P50,'Sources &amp; Uses'!D29*'Assumptions'!D16/'Assumptions'!D29/4)</x:f>
        <x:v>0.4450000000000001</x:v>
      </x:c>
      <x:c r="R44" s="9" t="n">
        <x:f>MIN(Q50,'Sources &amp; Uses'!D29*'Assumptions'!D16/'Assumptions'!D29/4)</x:f>
        <x:v>0.4450000000000001</x:v>
      </x:c>
      <x:c r="S44" s="9" t="n">
        <x:f>MIN(R50,'Sources &amp; Uses'!D29*'Assumptions'!D16/'Assumptions'!D29/4)</x:f>
        <x:v>0.4450000000000001</x:v>
      </x:c>
      <x:c r="T44" s="9" t="n">
        <x:f>MIN(S50,'Sources &amp; Uses'!D29*'Assumptions'!D16/'Assumptions'!D29/4)</x:f>
        <x:v>0.4450000000000001</x:v>
      </x:c>
      <x:c r="U44" s="9" t="n">
        <x:f>MIN(T50,'Sources &amp; Uses'!D29*'Assumptions'!D16/'Assumptions'!D29/4)</x:f>
        <x:v>0.4450000000000001</x:v>
      </x:c>
      <x:c r="V44" s="9" t="n">
        <x:f>MIN(U50,'Sources &amp; Uses'!D29*'Assumptions'!D16/'Assumptions'!D29/4)</x:f>
        <x:v>0.4450000000000001</x:v>
      </x:c>
      <x:c r="W44" s="9" t="n">
        <x:f>MIN(V50,'Sources &amp; Uses'!D29*'Assumptions'!D16/'Assumptions'!D29/4)</x:f>
        <x:v>0.4450000000000001</x:v>
      </x:c>
      <x:c r="X44" s="9" t="n">
        <x:f>MIN(W50,'Sources &amp; Uses'!D29*'Assumptions'!D16/'Assumptions'!D29/4)</x:f>
        <x:v>0.4450000000000001</x:v>
      </x:c>
      <x:c r="Y44" s="9" t="n">
        <x:f>MIN(X50,'Sources &amp; Uses'!D29*'Assumptions'!D16/'Assumptions'!D29/4)</x:f>
        <x:v>0.4450000000000001</x:v>
      </x:c>
      <x:c r="Z44" s="9" t="n">
        <x:f>MIN(Y50,'Sources &amp; Uses'!D29*'Assumptions'!D16/'Assumptions'!D29/4)</x:f>
        <x:v>0.4450000000000001</x:v>
      </x:c>
      <x:c r="AA44" s="9" t="n">
        <x:f>MIN(Z50,'Sources &amp; Uses'!D29*'Assumptions'!D16/'Assumptions'!D29/4)</x:f>
        <x:v>0.4450000000000001</x:v>
      </x:c>
      <x:c r="AB44" s="9" t="n">
        <x:f>MIN(AA50,'Sources &amp; Uses'!D29*'Assumptions'!D16/'Assumptions'!D29/4)</x:f>
        <x:v>0.4450000000000001</x:v>
      </x:c>
      <x:c r="AC44" s="9" t="n">
        <x:f>MIN(AB50,'Sources &amp; Uses'!D29*'Assumptions'!D16/'Assumptions'!D29/4)</x:f>
        <x:v>0.4450000000000001</x:v>
      </x:c>
      <x:c r="AD44" s="9" t="n">
        <x:f>MIN(AC50,'Sources &amp; Uses'!D29*'Assumptions'!D16/'Assumptions'!D29/4)</x:f>
        <x:v>0.4450000000000001</x:v>
      </x:c>
    </x:row>
    <x:row r="45" ht="20" customHeight="1">
      <x:c r="A45" s="2"/>
      <x:c r="B45" s="2"/>
      <x:c r="C45" s="2" t="str">
        <x:v>Revolver fee amortization</x:v>
      </x:c>
      <x:c r="D45" s="2" t="n">
        <x:f>SUM(K45:N45)</x:f>
        <x:v>0.8010000000000002</x:v>
      </x:c>
      <x:c r="E45" s="2" t="n">
        <x:f>SUM(O45:R45)</x:f>
        <x:v>0.8010000000000002</x:v>
      </x:c>
      <x:c r="F45" s="2" t="n">
        <x:f>SUM(S45:V45)</x:f>
        <x:v>0.8010000000000002</x:v>
      </x:c>
      <x:c r="G45" s="2" t="n">
        <x:f>SUM(W45:Z45)</x:f>
        <x:v>0.8010000000000002</x:v>
      </x:c>
      <x:c r="H45" s="2" t="n">
        <x:f>SUM(AA45:AD45)</x:f>
        <x:v>0.8010000000000002</x:v>
      </x:c>
      <x:c r="I45" s="2"/>
      <x:c r="J45" s="2"/>
      <x:c r="K45" s="9" t="n">
        <x:f>MIN('Sources &amp; Uses'!D21,'Sources &amp; Uses'!D21/'Assumptions'!D30/4)</x:f>
        <x:v>0.20025000000000004</x:v>
      </x:c>
      <x:c r="L45" s="9" t="n">
        <x:f>MIN(K51,'Sources &amp; Uses'!D21/'Assumptions'!D30/4)</x:f>
        <x:v>0.20025000000000004</x:v>
      </x:c>
      <x:c r="M45" s="9" t="n">
        <x:f>MIN(L51,'Sources &amp; Uses'!D21/'Assumptions'!D30/4)</x:f>
        <x:v>0.20025000000000004</x:v>
      </x:c>
      <x:c r="N45" s="9" t="n">
        <x:f>MIN(M51,'Sources &amp; Uses'!D21/'Assumptions'!D30/4)</x:f>
        <x:v>0.20025000000000004</x:v>
      </x:c>
      <x:c r="O45" s="9" t="n">
        <x:f>MIN(N51,'Sources &amp; Uses'!D21/'Assumptions'!D30/4)</x:f>
        <x:v>0.20025000000000004</x:v>
      </x:c>
      <x:c r="P45" s="9" t="n">
        <x:f>MIN(O51,'Sources &amp; Uses'!D21/'Assumptions'!D30/4)</x:f>
        <x:v>0.20025000000000004</x:v>
      </x:c>
      <x:c r="Q45" s="9" t="n">
        <x:f>MIN(P51,'Sources &amp; Uses'!D21/'Assumptions'!D30/4)</x:f>
        <x:v>0.20025000000000004</x:v>
      </x:c>
      <x:c r="R45" s="9" t="n">
        <x:f>MIN(Q51,'Sources &amp; Uses'!D21/'Assumptions'!D30/4)</x:f>
        <x:v>0.20025000000000004</x:v>
      </x:c>
      <x:c r="S45" s="9" t="n">
        <x:f>MIN(R51,'Sources &amp; Uses'!D21/'Assumptions'!D30/4)</x:f>
        <x:v>0.20025000000000004</x:v>
      </x:c>
      <x:c r="T45" s="9" t="n">
        <x:f>MIN(S51,'Sources &amp; Uses'!D21/'Assumptions'!D30/4)</x:f>
        <x:v>0.20025000000000004</x:v>
      </x:c>
      <x:c r="U45" s="9" t="n">
        <x:f>MIN(T51,'Sources &amp; Uses'!D21/'Assumptions'!D30/4)</x:f>
        <x:v>0.20025000000000004</x:v>
      </x:c>
      <x:c r="V45" s="9" t="n">
        <x:f>MIN(U51,'Sources &amp; Uses'!D21/'Assumptions'!D30/4)</x:f>
        <x:v>0.20025000000000004</x:v>
      </x:c>
      <x:c r="W45" s="9" t="n">
        <x:f>MIN(V51,'Sources &amp; Uses'!D21/'Assumptions'!D30/4)</x:f>
        <x:v>0.20025000000000004</x:v>
      </x:c>
      <x:c r="X45" s="9" t="n">
        <x:f>MIN(W51,'Sources &amp; Uses'!D21/'Assumptions'!D30/4)</x:f>
        <x:v>0.20025000000000004</x:v>
      </x:c>
      <x:c r="Y45" s="9" t="n">
        <x:f>MIN(X51,'Sources &amp; Uses'!D21/'Assumptions'!D30/4)</x:f>
        <x:v>0.20025000000000004</x:v>
      </x:c>
      <x:c r="Z45" s="9" t="n">
        <x:f>MIN(Y51,'Sources &amp; Uses'!D21/'Assumptions'!D30/4)</x:f>
        <x:v>0.20025000000000004</x:v>
      </x:c>
      <x:c r="AA45" s="9" t="n">
        <x:f>MIN(Z51,'Sources &amp; Uses'!D21/'Assumptions'!D30/4)</x:f>
        <x:v>0.20025000000000004</x:v>
      </x:c>
      <x:c r="AB45" s="9" t="n">
        <x:f>MIN(AA51,'Sources &amp; Uses'!D21/'Assumptions'!D30/4)</x:f>
        <x:v>0.20025000000000004</x:v>
      </x:c>
      <x:c r="AC45" s="9" t="n">
        <x:f>MIN(AB51,'Sources &amp; Uses'!D21/'Assumptions'!D30/4)</x:f>
        <x:v>0.20025000000000004</x:v>
      </x:c>
      <x:c r="AD45" s="9" t="n">
        <x:f>MIN(AC51,'Sources &amp; Uses'!D21/'Assumptions'!D30/4)</x:f>
        <x:v>0.20025000000000004</x:v>
      </x:c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 ht="20" customHeight="1">
      <x:c r="A47" s="2"/>
      <x:c r="B47" s="2"/>
      <x:c r="C47" s="2" t="str">
        <x:v>Total financing-fee expense</x:v>
      </x:c>
      <x:c r="D47" s="2" t="n">
        <x:f>SUM(K47:N47)</x:f>
        <x:v>10.521541387477756</x:v>
      </x:c>
      <x:c r="E47" s="2" t="n">
        <x:f>SUM(O47:R47)</x:f>
        <x:v>10.915155852720172</x:v>
      </x:c>
      <x:c r="F47" s="2" t="n">
        <x:f>SUM(S47:V47)</x:f>
        <x:v>10.918448574020633</x:v>
      </x:c>
      <x:c r="G47" s="2" t="n">
        <x:f>SUM(W47:Z47)</x:f>
        <x:v>10.264834878951977</x:v>
      </x:c>
      <x:c r="H47" s="2" t="n">
        <x:f>SUM(AA47:AD47)</x:f>
        <x:v>7.665019306829479</x:v>
      </x:c>
      <x:c r="I47" s="2"/>
      <x:c r="J47" s="2"/>
      <x:c r="K47" s="2" t="n">
        <x:f>SUM(K42:K45)</x:f>
        <x:v>2.4919225042452493</x:v>
      </x:c>
      <x:c r="L47" s="2" t="n">
        <x:f>SUM(L42:L45)</x:f>
        <x:v>2.2883808124121003</x:v>
      </x:c>
      <x:c r="M47" s="2" t="n">
        <x:f>SUM(M42:M45)</x:f>
        <x:v>2.2844454563686405</x:v>
      </x:c>
      <x:c r="N47" s="2" t="n">
        <x:f>SUM(N42:N45)</x:f>
        <x:v>3.456792614451766</x:v>
      </x:c>
      <x:c r="O47" s="2" t="n">
        <x:f>SUM(O42:O45)</x:f>
        <x:v>2.8659297709738296</x:v>
      </x:c>
      <x:c r="P47" s="2" t="n">
        <x:f>SUM(P42:P45)</x:f>
        <x:v>2.2721731396935057</x:v>
      </x:c>
      <x:c r="Q47" s="2" t="n">
        <x:f>SUM(Q42:Q45)</x:f>
        <x:v>2.285061367815445</x:v>
      </x:c>
      <x:c r="R47" s="2" t="n">
        <x:f>SUM(R42:R45)</x:f>
        <x:v>3.4919915742373924</x:v>
      </x:c>
      <x:c r="S47" s="2" t="n">
        <x:f>SUM(S42:S45)</x:f>
        <x:v>2.9509713598744147</x:v>
      </x:c>
      <x:c r="T47" s="2" t="n">
        <x:f>SUM(T42:T45)</x:f>
        <x:v>2.3289217210754707</x:v>
      </x:c>
      <x:c r="U47" s="2" t="n">
        <x:f>SUM(U42:U45)</x:f>
        <x:v>2.4147279633575125</x:v>
      </x:c>
      <x:c r="V47" s="2" t="n">
        <x:f>SUM(V42:V45)</x:f>
        <x:v>3.223827529713234</x:v>
      </x:c>
      <x:c r="W47" s="2" t="n">
        <x:f>SUM(W42:W45)</x:f>
        <x:v>2.7024053910534627</x:v>
      </x:c>
      <x:c r="X47" s="2" t="n">
        <x:f>SUM(X42:X45)</x:f>
        <x:v>2.3946042454195022</x:v>
      </x:c>
      <x:c r="Y47" s="2" t="n">
        <x:f>SUM(Y42:Y45)</x:f>
        <x:v>2.3981519601420396</x:v>
      </x:c>
      <x:c r="Z47" s="2" t="n">
        <x:f>SUM(Z42:Z45)</x:f>
        <x:v>2.769673282336972</x:v>
      </x:c>
      <x:c r="AA47" s="2" t="n">
        <x:f>SUM(AA42:AA45)</x:f>
        <x:v>2.401252428317233</x:v>
      </x:c>
      <x:c r="AB47" s="2" t="n">
        <x:f>SUM(AB42:AB45)</x:f>
        <x:v>2.2682187312549362</x:v>
      </x:c>
      <x:c r="AC47" s="2" t="n">
        <x:f>SUM(AC42:AC45)</x:f>
        <x:v>2.2094897345440545</x:v>
      </x:c>
      <x:c r="AD47" s="2" t="n">
        <x:f>SUM(AD42:AD45)</x:f>
        <x:v>0.7860584127132553</x:v>
      </x:c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 ht="20" customHeight="1">
      <x:c r="A49" s="2"/>
      <x:c r="B49" s="2"/>
      <x:c r="C49" s="2" t="str">
        <x:v>Ending senior issuance fees</x:v>
      </x:c>
      <x:c r="D49" s="2" t="n">
        <x:f>N49</x:f>
        <x:v>29.43945861252226</x:v>
      </x:c>
      <x:c r="E49" s="2" t="n">
        <x:f>R49</x:f>
        <x:v>21.105302759802086</x:v>
      </x:c>
      <x:c r="F49" s="2" t="n">
        <x:f>V49</x:f>
        <x:v>12.767854185781454</x:v>
      </x:c>
      <x:c r="G49" s="2" t="n">
        <x:f>Z49</x:f>
        <x:v>5.084019306829478</x:v>
      </x:c>
      <x:c r="H49" s="2" t="n">
        <x:f>AD49</x:f>
        <x:v>0</x:v>
      </x:c>
      <x:c r="I49" s="2"/>
      <x:c r="J49" s="2"/>
      <x:c r="K49" s="2" t="n">
        <x:f>K41-K42-K43</x:f>
        <x:v>35.53332749575476</x:v>
      </x:c>
      <x:c r="L49" s="2" t="n">
        <x:f>L41-L42-L43</x:f>
        <x:v>33.890196683342666</x:v>
      </x:c>
      <x:c r="M49" s="2" t="n">
        <x:f>M41-M42-M43</x:f>
        <x:v>32.251001226974026</x:v>
      </x:c>
      <x:c r="N49" s="2" t="n">
        <x:f>N41-N42-N43</x:f>
        <x:v>29.43945861252226</x:v>
      </x:c>
      <x:c r="O49" s="2" t="n">
        <x:f>O41-O42-O43</x:f>
        <x:v>27.218778841548428</x:v>
      </x:c>
      <x:c r="P49" s="2" t="n">
        <x:f>P41-P42-P43</x:f>
        <x:v>25.59185570185492</x:v>
      </x:c>
      <x:c r="Q49" s="2" t="n">
        <x:f>Q41-Q42-Q43</x:f>
        <x:v>23.952044334039478</x:v>
      </x:c>
      <x:c r="R49" s="2" t="n">
        <x:f>R41-R42-R43</x:f>
        <x:v>21.105302759802086</x:v>
      </x:c>
      <x:c r="S49" s="2" t="n">
        <x:f>S41-S42-S43</x:f>
        <x:v>18.79958139992767</x:v>
      </x:c>
      <x:c r="T49" s="2" t="n">
        <x:f>T41-T42-T43</x:f>
        <x:v>17.1159096788522</x:v>
      </x:c>
      <x:c r="U49" s="2" t="n">
        <x:f>U41-U42-U43</x:f>
        <x:v>15.346431715494688</x:v>
      </x:c>
      <x:c r="V49" s="2" t="n">
        <x:f>V41-V42-V43</x:f>
        <x:v>12.767854185781454</x:v>
      </x:c>
      <x:c r="W49" s="2" t="n">
        <x:f>W41-W42-W43</x:f>
        <x:v>10.71069879472799</x:v>
      </x:c>
      <x:c r="X49" s="2" t="n">
        <x:f>X41-X42-X43</x:f>
        <x:v>8.961344549308489</x:v>
      </x:c>
      <x:c r="Y49" s="2" t="n">
        <x:f>Y41-Y42-Y43</x:f>
        <x:v>7.20844258916645</x:v>
      </x:c>
      <x:c r="Z49" s="2" t="n">
        <x:f>Z41-Z42-Z43</x:f>
        <x:v>5.084019306829478</x:v>
      </x:c>
      <x:c r="AA49" s="2" t="n">
        <x:f>AA41-AA42-AA43</x:f>
        <x:v>3.3280168785122455</x:v>
      </x:c>
      <x:c r="AB49" s="2" t="n">
        <x:f>AB41-AB42-AB43</x:f>
        <x:v>1.7050481472573096</x:v>
      </x:c>
      <x:c r="AC49" s="2" t="n">
        <x:f>AC41-AC42-AC43</x:f>
        <x:v>0.14080841271325512</x:v>
      </x:c>
      <x:c r="AD49" s="2" t="n">
        <x:f>AD41-AD42-AD43</x:f>
        <x:v>0</x:v>
      </x:c>
    </x:row>
    <x:row r="50" ht="20" customHeight="1">
      <x:c r="A50" s="2"/>
      <x:c r="B50" s="2"/>
      <x:c r="C50" s="2" t="str">
        <x:v>Ending junior issuance fees</x:v>
      </x:c>
      <x:c r="D50" s="2" t="n">
        <x:f>N50</x:f>
        <x:v>8.900000000000002</x:v>
      </x:c>
      <x:c r="E50" s="2" t="n">
        <x:f>R50</x:f>
        <x:v>7.120000000000001</x:v>
      </x:c>
      <x:c r="F50" s="2" t="n">
        <x:f>V50</x:f>
        <x:v>5.34</x:v>
      </x:c>
      <x:c r="G50" s="2" t="n">
        <x:f>Z50</x:f>
        <x:v>3.5599999999999987</x:v>
      </x:c>
      <x:c r="H50" s="2" t="n">
        <x:f>AD50</x:f>
        <x:v>1.7799999999999978</x:v>
      </x:c>
      <x:c r="I50" s="2"/>
      <x:c r="J50" s="2"/>
      <x:c r="K50" s="9" t="n">
        <x:f>'Sources &amp; Uses'!D29*'Assumptions'!D16-K44</x:f>
        <x:v>10.235000000000003</x:v>
      </x:c>
      <x:c r="L50" s="2" t="n">
        <x:f>K50-L44</x:f>
        <x:v>9.790000000000003</x:v>
      </x:c>
      <x:c r="M50" s="2" t="n">
        <x:f>L50-M44</x:f>
        <x:v>9.345000000000002</x:v>
      </x:c>
      <x:c r="N50" s="2" t="n">
        <x:f>M50-N44</x:f>
        <x:v>8.900000000000002</x:v>
      </x:c>
      <x:c r="O50" s="2" t="n">
        <x:f>N50-O44</x:f>
        <x:v>8.455000000000002</x:v>
      </x:c>
      <x:c r="P50" s="2" t="n">
        <x:f>O50-P44</x:f>
        <x:v>8.010000000000002</x:v>
      </x:c>
      <x:c r="Q50" s="2" t="n">
        <x:f>P50-Q44</x:f>
        <x:v>7.565000000000001</x:v>
      </x:c>
      <x:c r="R50" s="2" t="n">
        <x:f>Q50-R44</x:f>
        <x:v>7.120000000000001</x:v>
      </x:c>
      <x:c r="S50" s="2" t="n">
        <x:f>R50-S44</x:f>
        <x:v>6.675000000000001</x:v>
      </x:c>
      <x:c r="T50" s="2" t="n">
        <x:f>S50-T44</x:f>
        <x:v>6.23</x:v>
      </x:c>
      <x:c r="U50" s="2" t="n">
        <x:f>T50-U44</x:f>
        <x:v>5.785</x:v>
      </x:c>
      <x:c r="V50" s="2" t="n">
        <x:f>U50-V44</x:f>
        <x:v>5.34</x:v>
      </x:c>
      <x:c r="W50" s="2" t="n">
        <x:f>V50-W44</x:f>
        <x:v>4.895</x:v>
      </x:c>
      <x:c r="X50" s="2" t="n">
        <x:f>W50-X44</x:f>
        <x:v>4.449999999999999</x:v>
      </x:c>
      <x:c r="Y50" s="2" t="n">
        <x:f>X50-Y44</x:f>
        <x:v>4.004999999999999</x:v>
      </x:c>
      <x:c r="Z50" s="2" t="n">
        <x:f>Y50-Z44</x:f>
        <x:v>3.5599999999999987</x:v>
      </x:c>
      <x:c r="AA50" s="2" t="n">
        <x:f>Z50-AA44</x:f>
        <x:v>3.1149999999999984</x:v>
      </x:c>
      <x:c r="AB50" s="2" t="n">
        <x:f>AA50-AB44</x:f>
        <x:v>2.669999999999998</x:v>
      </x:c>
      <x:c r="AC50" s="2" t="n">
        <x:f>AB50-AC44</x:f>
        <x:v>2.224999999999998</x:v>
      </x:c>
      <x:c r="AD50" s="2" t="n">
        <x:f>AC50-AD44</x:f>
        <x:v>1.7799999999999978</x:v>
      </x:c>
    </x:row>
    <x:row r="51" ht="20" customHeight="1">
      <x:c r="A51" s="2"/>
      <x:c r="B51" s="2"/>
      <x:c r="C51" s="2" t="str">
        <x:v>Ending revolver issuance asset</x:v>
      </x:c>
      <x:c r="D51" s="2" t="n">
        <x:f>N51</x:f>
        <x:v>3.2040000000000006</x:v>
      </x:c>
      <x:c r="E51" s="2" t="n">
        <x:f>R51</x:f>
        <x:v>2.4030000000000005</x:v>
      </x:c>
      <x:c r="F51" s="2" t="n">
        <x:f>V51</x:f>
        <x:v>1.6020000000000003</x:v>
      </x:c>
      <x:c r="G51" s="2" t="n">
        <x:f>Z51</x:f>
        <x:v>0.8010000000000002</x:v>
      </x:c>
      <x:c r="H51" s="2" t="n">
        <x:f>AD51</x:f>
        <x:v>0</x:v>
      </x:c>
      <x:c r="I51" s="2"/>
      <x:c r="J51" s="2"/>
      <x:c r="K51" s="9" t="n">
        <x:f>'Sources &amp; Uses'!D21-K45</x:f>
        <x:v>3.8047500000000007</x:v>
      </x:c>
      <x:c r="L51" s="2" t="n">
        <x:f>K51-L45</x:f>
        <x:v>3.6045000000000007</x:v>
      </x:c>
      <x:c r="M51" s="2" t="n">
        <x:f>L51-M45</x:f>
        <x:v>3.4042500000000007</x:v>
      </x:c>
      <x:c r="N51" s="2" t="n">
        <x:f>M51-N45</x:f>
        <x:v>3.2040000000000006</x:v>
      </x:c>
      <x:c r="O51" s="2" t="n">
        <x:f>N51-O45</x:f>
        <x:v>3.0037500000000006</x:v>
      </x:c>
      <x:c r="P51" s="2" t="n">
        <x:f>O51-P45</x:f>
        <x:v>2.8035000000000005</x:v>
      </x:c>
      <x:c r="Q51" s="2" t="n">
        <x:f>P51-Q45</x:f>
        <x:v>2.6032500000000005</x:v>
      </x:c>
      <x:c r="R51" s="2" t="n">
        <x:f>Q51-R45</x:f>
        <x:v>2.4030000000000005</x:v>
      </x:c>
      <x:c r="S51" s="2" t="n">
        <x:f>R51-S45</x:f>
        <x:v>2.2027500000000004</x:v>
      </x:c>
      <x:c r="T51" s="2" t="n">
        <x:f>S51-T45</x:f>
        <x:v>2.0025000000000004</x:v>
      </x:c>
      <x:c r="U51" s="2" t="n">
        <x:f>T51-U45</x:f>
        <x:v>1.8022500000000004</x:v>
      </x:c>
      <x:c r="V51" s="2" t="n">
        <x:f>U51-V45</x:f>
        <x:v>1.6020000000000003</x:v>
      </x:c>
      <x:c r="W51" s="2" t="n">
        <x:f>V51-W45</x:f>
        <x:v>1.4017500000000003</x:v>
      </x:c>
      <x:c r="X51" s="2" t="n">
        <x:f>W51-X45</x:f>
        <x:v>1.2015000000000002</x:v>
      </x:c>
      <x:c r="Y51" s="2" t="n">
        <x:f>X51-Y45</x:f>
        <x:v>1.0012500000000002</x:v>
      </x:c>
      <x:c r="Z51" s="2" t="n">
        <x:f>Y51-Z45</x:f>
        <x:v>0.8010000000000002</x:v>
      </x:c>
      <x:c r="AA51" s="2" t="n">
        <x:f>Z51-AA45</x:f>
        <x:v>0.6007500000000001</x:v>
      </x:c>
      <x:c r="AB51" s="2" t="n">
        <x:f>AA51-AB45</x:f>
        <x:v>0.4005000000000001</x:v>
      </x:c>
      <x:c r="AC51" s="2" t="n">
        <x:f>AB51-AC45</x:f>
        <x:v>0.20025000000000004</x:v>
      </x:c>
      <x:c r="AD51" s="2" t="n">
        <x:f>AC51-AD45</x:f>
        <x:v>0</x:v>
      </x:c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 ht="20" customHeight="1">
      <x:c r="A53" s="2"/>
      <x:c r="B53" s="2"/>
      <x:c r="C53" s="2" t="str">
        <x:v>Total debt principal</x:v>
      </x:c>
      <x:c r="D53" s="2" t="n">
        <x:f>N53</x:f>
        <x:v>2351.62934088116</x:v>
      </x:c>
      <x:c r="E53" s="2" t="n">
        <x:f>R53</x:f>
        <x:v>2198.6559573522345</x:v>
      </x:c>
      <x:c r="F53" s="2" t="n">
        <x:f>V53</x:f>
        <x:v>1990.000459110361</x:v>
      </x:c>
      <x:c r="G53" s="2" t="n">
        <x:f>Z53</x:f>
        <x:v>1733.679318876366</x:v>
      </x:c>
      <x:c r="H53" s="2" t="n">
        <x:f>AD53</x:f>
        <x:v>1434.2146809642998</x:v>
      </x:c>
      <x:c r="I53" s="2"/>
      <x:c r="J53" s="2"/>
      <x:c r="K53" s="2" t="n">
        <x:f>SUM(K34:K37)</x:f>
        <x:v>2437.4627389089446</x:v>
      </x:c>
      <x:c r="L53" s="2" t="n">
        <x:f>SUM(L34:L37)</x:f>
        <x:v>2440.930380356225</x:v>
      </x:c>
      <x:c r="M53" s="2" t="n">
        <x:f>SUM(M34:M37)</x:f>
        <x:v>2441.268992689195</x:v>
      </x:c>
      <x:c r="N53" s="2" t="n">
        <x:f>SUM(N34:N37)</x:f>
        <x:v>2351.62934088116</x:v>
      </x:c>
      <x:c r="O53" s="2" t="n">
        <x:f>SUM(O34:O37)</x:f>
        <x:v>2309.173347006342</x:v>
      </x:c>
      <x:c r="P53" s="2" t="n">
        <x:f>SUM(P34:P37)</x:f>
        <x:v>2305.397240869303</x:v>
      </x:c>
      <x:c r="Q53" s="2" t="n">
        <x:f>SUM(Q34:Q37)</x:f>
        <x:v>2297.8519043855913</x:v>
      </x:c>
      <x:c r="R53" s="2" t="n">
        <x:f>SUM(R34:R37)</x:f>
        <x:v>2198.6559573522345</x:v>
      </x:c>
      <x:c r="S53" s="2" t="n">
        <x:f>SUM(S34:S37)</x:f>
        <x:v>2136.3598876701667</x:v>
      </x:c>
      <x:c r="T53" s="2" t="n">
        <x:f>SUM(T34:T37)</x:f>
        <x:v>2124.5999970273006</x:v>
      </x:c>
      <x:c r="U53" s="2" t="n">
        <x:f>SUM(U34:U37)</x:f>
        <x:v>2103.1827393553435</x:v>
      </x:c>
      <x:c r="V53" s="2" t="n">
        <x:f>SUM(V34:V37)</x:f>
        <x:v>1990.000459110361</x:v>
      </x:c>
      <x:c r="W53" s="2" t="n">
        <x:f>SUM(W34:W37)</x:f>
        <x:v>1926.7548645732024</x:v>
      </x:c>
      <x:c r="X53" s="2" t="n">
        <x:f>SUM(X34:X37)</x:f>
        <x:v>1898.1314996420476</x:v>
      </x:c>
      <x:c r="Y53" s="2" t="n">
        <x:f>SUM(Y34:Y37)</x:f>
        <x:v>1862.9334580944926</x:v>
      </x:c>
      <x:c r="Z53" s="2" t="n">
        <x:f>SUM(Z34:Z37)</x:f>
        <x:v>1733.679318876366</x:v>
      </x:c>
      <x:c r="AA53" s="2" t="n">
        <x:f>SUM(AA34:AA37)</x:f>
        <x:v>1668.248659492681</x:v>
      </x:c>
      <x:c r="AB53" s="2" t="n">
        <x:f>SUM(AB34:AB37)</x:f>
        <x:v>1627.5426927083106</x:v>
      </x:c>
      <x:c r="AC53" s="2" t="n">
        <x:f>SUM(AC34:AC37)</x:f>
        <x:v>1579.1887817284307</x:v>
      </x:c>
      <x:c r="AD53" s="2" t="n">
        <x:f>SUM(AD34:AD37)</x:f>
        <x:v>1434.2146809642998</x:v>
      </x:c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 ht="32" customHeight="1">
      <x:c r="A56" s="2"/>
      <x:c r="B56" s="2"/>
      <x:c r="C56" s="13" t="str">
        <x:v>Quarter-end draws and repayments; beginning-balance ACT/360 interest. Junior debt is bullet at exit.</x:v>
      </x:c>
      <x:c r="D56" s="13"/>
      <x:c r="E56" s="13"/>
      <x:c r="F56" s="13"/>
      <x:c r="G56" s="13"/>
      <x:c r="H56" s="13"/>
      <x:c r="I56" s="13"/>
      <x:c r="J56" s="13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 ht="32" customHeight="1">
      <x:c r="A58" s="2"/>
      <x:c r="B58" s="2"/>
      <x:c r="C58" s="13" t="str">
        <x:v>Debt terms are hypothetical. Shortfalls invalidate funded returns; no automatic sponsor cure or refinancing.</x:v>
      </x:c>
      <x:c r="D58" s="13"/>
      <x:c r="E58" s="13"/>
      <x:c r="F58" s="13"/>
      <x:c r="G58" s="13"/>
      <x:c r="H58" s="13"/>
      <x:c r="I58" s="13"/>
      <x:c r="J58" s="13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</x:sheetData>
  <x:mergeCells>
    <x:mergeCell ref="C56:J56"/>
    <x:mergeCell ref="C58:J5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Cash Flow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 s="8" t="n">
        <x:v>2026</x:v>
      </x:c>
      <x:c r="E8" s="8" t="n">
        <x:v>2027</x:v>
      </x:c>
      <x:c r="F8" s="8" t="n">
        <x:v>2028</x:v>
      </x:c>
      <x:c r="G8" s="8" t="n">
        <x:v>2029</x:v>
      </x:c>
      <x:c r="H8" s="8" t="n">
        <x:v>2030</x:v>
      </x:c>
      <x:c r="I8" s="2"/>
      <x:c r="J8" s="2"/>
      <x:c r="K8" s="11" t="n">
        <x:v>46112</x:v>
      </x:c>
      <x:c r="L8" s="11" t="n">
        <x:v>46203</x:v>
      </x:c>
      <x:c r="M8" s="11" t="n">
        <x:v>46295</x:v>
      </x:c>
      <x:c r="N8" s="11" t="n">
        <x:v>46387</x:v>
      </x:c>
      <x:c r="O8" s="11" t="n">
        <x:v>46477</x:v>
      </x:c>
      <x:c r="P8" s="11" t="n">
        <x:v>46568</x:v>
      </x:c>
      <x:c r="Q8" s="11" t="n">
        <x:v>46660</x:v>
      </x:c>
      <x:c r="R8" s="11" t="n">
        <x:v>46752</x:v>
      </x:c>
      <x:c r="S8" s="11" t="n">
        <x:v>46843</x:v>
      </x:c>
      <x:c r="T8" s="11" t="n">
        <x:v>46934</x:v>
      </x:c>
      <x:c r="U8" s="11" t="n">
        <x:v>47026</x:v>
      </x:c>
      <x:c r="V8" s="11" t="n">
        <x:v>47118</x:v>
      </x:c>
      <x:c r="W8" s="11" t="n">
        <x:v>47208</x:v>
      </x:c>
      <x:c r="X8" s="11" t="n">
        <x:v>47299</x:v>
      </x:c>
      <x:c r="Y8" s="11" t="n">
        <x:v>47391</x:v>
      </x:c>
      <x:c r="Z8" s="11" t="n">
        <x:v>47483</x:v>
      </x:c>
      <x:c r="AA8" s="11" t="n">
        <x:v>47573</x:v>
      </x:c>
      <x:c r="AB8" s="11" t="n">
        <x:v>47664</x:v>
      </x:c>
      <x:c r="AC8" s="11" t="n">
        <x:v>47756</x:v>
      </x:c>
      <x:c r="AD8" s="11" t="n">
        <x:v>47848</x:v>
      </x:c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Net income</x:v>
      </x:c>
      <x:c r="D10" s="2" t="n">
        <x:f>SUM(K10:N10)</x:f>
        <x:v>65.75691887926682</x:v>
      </x:c>
      <x:c r="E10" s="2" t="n">
        <x:f>SUM(O10:R10)</x:f>
        <x:v>81.599923433311</x:v>
      </x:c>
      <x:c r="F10" s="2" t="n">
        <x:f>SUM(S10:V10)</x:f>
        <x:v>122.90040977574367</x:v>
      </x:c>
      <x:c r="G10" s="2" t="n">
        <x:f>SUM(W10:Z10)</x:f>
        <x:v>167.49039697825336</x:v>
      </x:c>
      <x:c r="H10" s="2" t="n">
        <x:f>SUM(AA10:AD10)</x:f>
        <x:v>219.43550550345222</x:v>
      </x:c>
      <x:c r="I10" s="2"/>
      <x:c r="J10" s="2"/>
      <x:c r="K10" s="9" t="n">
        <x:f>'Operating Case'!K36</x:f>
        <x:v>-4.430889872960641</x:v>
      </x:c>
      <x:c r="L10" s="9" t="n">
        <x:f>'Operating Case'!L36</x:f>
        <x:v>12.890298537331104</x:v>
      </x:c>
      <x:c r="M10" s="9" t="n">
        <x:f>'Operating Case'!M36</x:f>
        <x:v>43.79141578560943</x:v>
      </x:c>
      <x:c r="N10" s="9" t="n">
        <x:f>'Operating Case'!N36</x:f>
        <x:v>13.506094429286929</x:v>
      </x:c>
      <x:c r="O10" s="9" t="n">
        <x:f>'Operating Case'!O36</x:f>
        <x:v>-1.811573069787876</x:v>
      </x:c>
      <x:c r="P10" s="9" t="n">
        <x:f>'Operating Case'!P36</x:f>
        <x:v>16.948276255072315</x:v>
      </x:c>
      <x:c r="Q10" s="9" t="n">
        <x:f>'Operating Case'!Q36</x:f>
        <x:v>48.63840621546718</x:v>
      </x:c>
      <x:c r="R10" s="9" t="n">
        <x:f>'Operating Case'!R36</x:f>
        <x:v>17.82481403255938</x:v>
      </x:c>
      <x:c r="S10" s="9" t="n">
        <x:f>'Operating Case'!S36</x:f>
        <x:v>6.506851080583676</x:v>
      </x:c>
      <x:c r="T10" s="9" t="n">
        <x:f>'Operating Case'!T36</x:f>
        <x:v>27.115090913681364</x:v>
      </x:c>
      <x:c r="U10" s="9" t="n">
        <x:f>'Operating Case'!U36</x:f>
        <x:v>60.39126797290029</x:v>
      </x:c>
      <x:c r="V10" s="9" t="n">
        <x:f>'Operating Case'!V36</x:f>
        <x:v>28.887199808578348</x:v>
      </x:c>
      <x:c r="W10" s="9" t="n">
        <x:f>'Operating Case'!W36</x:f>
        <x:v>16.696619767851946</x:v>
      </x:c>
      <x:c r="X10" s="9" t="n">
        <x:f>'Operating Case'!X36</x:f>
        <x:v>37.49654538777067</x:v>
      </x:c>
      <x:c r="Y10" s="9" t="n">
        <x:f>'Operating Case'!Y36</x:f>
        <x:v>72.74998952098818</x:v>
      </x:c>
      <x:c r="Z10" s="9" t="n">
        <x:f>'Operating Case'!Z36</x:f>
        <x:v>40.54724230164256</x:v>
      </x:c>
      <x:c r="AA10" s="9" t="n">
        <x:f>'Operating Case'!AA36</x:f>
        <x:v>27.95156399539312</x:v>
      </x:c>
      <x:c r="AB10" s="9" t="n">
        <x:f>'Operating Case'!AB36</x:f>
        <x:v>49.624194685203264</x:v>
      </x:c>
      <x:c r="AC10" s="9" t="n">
        <x:f>'Operating Case'!AC36</x:f>
        <x:v>86.76412723625103</x:v>
      </x:c>
      <x:c r="AD10" s="9" t="n">
        <x:f>'Operating Case'!AD36</x:f>
        <x:v>55.095619586604805</x:v>
      </x:c>
    </x:row>
    <x:row r="11" ht="20" customHeight="1">
      <x:c r="A11" s="2"/>
      <x:c r="B11" s="2"/>
      <x:c r="C11" s="2" t="str">
        <x:v>Add back D&amp;A</x:v>
      </x:c>
      <x:c r="D11" s="2" t="n">
        <x:f>SUM(K11:N11)</x:f>
        <x:v>168.26123761913658</x:v>
      </x:c>
      <x:c r="E11" s="2" t="n">
        <x:f>SUM(O11:R11)</x:f>
        <x:v>180.01405586638288</x:v>
      </x:c>
      <x:c r="F11" s="2" t="n">
        <x:f>SUM(S11:V11)</x:f>
        <x:v>190.08049425904665</x:v>
      </x:c>
      <x:c r="G11" s="2" t="n">
        <x:f>SUM(W11:Z11)</x:f>
        <x:v>198.7983470816831</x:v>
      </x:c>
      <x:c r="H11" s="2" t="n">
        <x:f>SUM(AA11:AD11)</x:f>
        <x:v>206.361504266096</x:v>
      </x:c>
      <x:c r="I11" s="2"/>
      <x:c r="J11" s="2"/>
      <x:c r="K11" s="9" t="n">
        <x:f>'Capex &amp; DA'!K29</x:f>
        <x:v>40.906052083333336</x:v>
      </x:c>
      <x:c r="L11" s="9" t="n">
        <x:f>'Capex &amp; DA'!L29</x:f>
        <x:v>41.64015564583333</x:v>
      </x:c>
      <x:c r="M11" s="9" t="n">
        <x:f>'Capex &amp; DA'!M29</x:f>
        <x:v>42.42040801263021</x:v>
      </x:c>
      <x:c r="N11" s="9" t="n">
        <x:f>'Capex &amp; DA'!N29</x:f>
        <x:v>43.29462187733968</x:v>
      </x:c>
      <x:c r="O11" s="9" t="n">
        <x:f>'Capex &amp; DA'!O29</x:f>
        <x:v>44.02922667127698</x:v>
      </x:c>
      <x:c r="P11" s="9" t="n">
        <x:f>'Capex &amp; DA'!P29</x:f>
        <x:v>44.63950187261624</x:v>
      </x:c>
      <x:c r="Q11" s="9" t="n">
        <x:f>'Capex &amp; DA'!Q29</x:f>
        <x:v>45.297314527738656</x:v>
      </x:c>
      <x:c r="R11" s="9" t="n">
        <x:f>'Capex &amp; DA'!R29</x:f>
        <x:v>46.04801279475099</x:v>
      </x:c>
      <x:c r="S11" s="9" t="n">
        <x:f>'Capex &amp; DA'!S29</x:f>
        <x:v>46.666656902231686</x:v>
      </x:c>
      <x:c r="T11" s="9" t="n">
        <x:f>'Capex &amp; DA'!T29</x:f>
        <x:v>47.19472897066259</x:v>
      </x:c>
      <x:c r="U11" s="9" t="n">
        <x:f>'Capex &amp; DA'!U29</x:f>
        <x:v>47.77292151539771</x:v>
      </x:c>
      <x:c r="V11" s="9" t="n">
        <x:f>'Capex &amp; DA'!V29</x:f>
        <x:v>48.44618687075466</x:v>
      </x:c>
      <x:c r="W11" s="9" t="n">
        <x:f>'Capex &amp; DA'!W29</x:f>
        <x:v>48.98962669700698</x:v>
      </x:c>
      <x:c r="X11" s="9" t="n">
        <x:f>'Capex &amp; DA'!X29</x:f>
        <x:v>49.42180784333373</x:v>
      </x:c>
      <x:c r="Y11" s="9" t="n">
        <x:f>'Capex &amp; DA'!Y29</x:f>
        <x:v>49.90490797584493</x:v>
      </x:c>
      <x:c r="Z11" s="9" t="n">
        <x:f>'Capex &amp; DA'!Z29</x:f>
        <x:v>50.48200456549745</x:v>
      </x:c>
      <x:c r="AA11" s="9" t="n">
        <x:f>'Capex &amp; DA'!AA29</x:f>
        <x:v>50.93570717591899</x:v>
      </x:c>
      <x:c r="AB11" s="9" t="n">
        <x:f>'Capex &amp; DA'!AB29</x:f>
        <x:v>51.32869590938916</x:v>
      </x:c>
      <x:c r="AC11" s="9" t="n">
        <x:f>'Capex &amp; DA'!AC29</x:f>
        <x:v>51.77585640866146</x:v>
      </x:c>
      <x:c r="AD11" s="9" t="n">
        <x:f>'Capex &amp; DA'!AD29</x:f>
        <x:v>52.321244772126384</x:v>
      </x:c>
    </x:row>
    <x:row r="12" ht="20" customHeight="1">
      <x:c r="A12" s="2"/>
      <x:c r="B12" s="2"/>
      <x:c r="C12" s="2" t="str">
        <x:v>Add back financing-fee expense</x:v>
      </x:c>
      <x:c r="D12" s="2" t="n">
        <x:f>SUM(K12:N12)</x:f>
        <x:v>10.521541387477756</x:v>
      </x:c>
      <x:c r="E12" s="2" t="n">
        <x:f>SUM(O12:R12)</x:f>
        <x:v>10.915155852720172</x:v>
      </x:c>
      <x:c r="F12" s="2" t="n">
        <x:f>SUM(S12:V12)</x:f>
        <x:v>10.918448574020633</x:v>
      </x:c>
      <x:c r="G12" s="2" t="n">
        <x:f>SUM(W12:Z12)</x:f>
        <x:v>10.264834878951977</x:v>
      </x:c>
      <x:c r="H12" s="2" t="n">
        <x:f>SUM(AA12:AD12)</x:f>
        <x:v>7.665019306829479</x:v>
      </x:c>
      <x:c r="I12" s="2"/>
      <x:c r="J12" s="2"/>
      <x:c r="K12" s="9" t="n">
        <x:f>'Debt Schedule'!K47</x:f>
        <x:v>2.4919225042452493</x:v>
      </x:c>
      <x:c r="L12" s="9" t="n">
        <x:f>'Debt Schedule'!L47</x:f>
        <x:v>2.2883808124121003</x:v>
      </x:c>
      <x:c r="M12" s="9" t="n">
        <x:f>'Debt Schedule'!M47</x:f>
        <x:v>2.2844454563686405</x:v>
      </x:c>
      <x:c r="N12" s="9" t="n">
        <x:f>'Debt Schedule'!N47</x:f>
        <x:v>3.456792614451766</x:v>
      </x:c>
      <x:c r="O12" s="9" t="n">
        <x:f>'Debt Schedule'!O47</x:f>
        <x:v>2.8659297709738296</x:v>
      </x:c>
      <x:c r="P12" s="9" t="n">
        <x:f>'Debt Schedule'!P47</x:f>
        <x:v>2.2721731396935057</x:v>
      </x:c>
      <x:c r="Q12" s="9" t="n">
        <x:f>'Debt Schedule'!Q47</x:f>
        <x:v>2.285061367815445</x:v>
      </x:c>
      <x:c r="R12" s="9" t="n">
        <x:f>'Debt Schedule'!R47</x:f>
        <x:v>3.4919915742373924</x:v>
      </x:c>
      <x:c r="S12" s="9" t="n">
        <x:f>'Debt Schedule'!S47</x:f>
        <x:v>2.9509713598744147</x:v>
      </x:c>
      <x:c r="T12" s="9" t="n">
        <x:f>'Debt Schedule'!T47</x:f>
        <x:v>2.3289217210754707</x:v>
      </x:c>
      <x:c r="U12" s="9" t="n">
        <x:f>'Debt Schedule'!U47</x:f>
        <x:v>2.4147279633575125</x:v>
      </x:c>
      <x:c r="V12" s="9" t="n">
        <x:f>'Debt Schedule'!V47</x:f>
        <x:v>3.223827529713234</x:v>
      </x:c>
      <x:c r="W12" s="9" t="n">
        <x:f>'Debt Schedule'!W47</x:f>
        <x:v>2.7024053910534627</x:v>
      </x:c>
      <x:c r="X12" s="9" t="n">
        <x:f>'Debt Schedule'!X47</x:f>
        <x:v>2.3946042454195022</x:v>
      </x:c>
      <x:c r="Y12" s="9" t="n">
        <x:f>'Debt Schedule'!Y47</x:f>
        <x:v>2.3981519601420396</x:v>
      </x:c>
      <x:c r="Z12" s="9" t="n">
        <x:f>'Debt Schedule'!Z47</x:f>
        <x:v>2.769673282336972</x:v>
      </x:c>
      <x:c r="AA12" s="9" t="n">
        <x:f>'Debt Schedule'!AA47</x:f>
        <x:v>2.401252428317233</x:v>
      </x:c>
      <x:c r="AB12" s="9" t="n">
        <x:f>'Debt Schedule'!AB47</x:f>
        <x:v>2.2682187312549362</x:v>
      </x:c>
      <x:c r="AC12" s="9" t="n">
        <x:f>'Debt Schedule'!AC47</x:f>
        <x:v>2.2094897345440545</x:v>
      </x:c>
      <x:c r="AD12" s="9" t="n">
        <x:f>'Debt Schedule'!AD47</x:f>
        <x:v>0.7860584127132553</x:v>
      </x:c>
    </x:row>
    <x:row r="13" ht="20" customHeight="1">
      <x:c r="A13" s="2"/>
      <x:c r="B13" s="2"/>
      <x:c r="C13" s="2" t="str">
        <x:v>Deferred-tax adjustment</x:v>
      </x:c>
      <x:c r="D13" s="2" t="n">
        <x:f>SUM(K13:N13)</x:f>
        <x:v>-11</x:v>
      </x:c>
      <x:c r="E13" s="2" t="n">
        <x:f>SUM(O13:R13)</x:f>
        <x:v>-11</x:v>
      </x:c>
      <x:c r="F13" s="2" t="n">
        <x:f>SUM(S13:V13)</x:f>
        <x:v>-11</x:v>
      </x:c>
      <x:c r="G13" s="2" t="n">
        <x:f>SUM(W13:Z13)</x:f>
        <x:v>-11</x:v>
      </x:c>
      <x:c r="H13" s="2" t="n">
        <x:f>SUM(AA13:AD13)</x:f>
        <x:v>-11</x:v>
      </x:c>
      <x:c r="I13" s="2"/>
      <x:c r="J13" s="2"/>
      <x:c r="K13" s="9" t="n">
        <x:f>-'Taxes'!K22</x:f>
        <x:v>-2.75</x:v>
      </x:c>
      <x:c r="L13" s="9" t="n">
        <x:f>-'Taxes'!L22</x:f>
        <x:v>-2.75</x:v>
      </x:c>
      <x:c r="M13" s="9" t="n">
        <x:f>-'Taxes'!M22</x:f>
        <x:v>-2.75</x:v>
      </x:c>
      <x:c r="N13" s="9" t="n">
        <x:f>-'Taxes'!N22</x:f>
        <x:v>-2.75</x:v>
      </x:c>
      <x:c r="O13" s="9" t="n">
        <x:f>-'Taxes'!O22</x:f>
        <x:v>-2.75</x:v>
      </x:c>
      <x:c r="P13" s="9" t="n">
        <x:f>-'Taxes'!P22</x:f>
        <x:v>-2.75</x:v>
      </x:c>
      <x:c r="Q13" s="9" t="n">
        <x:f>-'Taxes'!Q22</x:f>
        <x:v>-2.75</x:v>
      </x:c>
      <x:c r="R13" s="9" t="n">
        <x:f>-'Taxes'!R22</x:f>
        <x:v>-2.75</x:v>
      </x:c>
      <x:c r="S13" s="9" t="n">
        <x:f>-'Taxes'!S22</x:f>
        <x:v>-2.75</x:v>
      </x:c>
      <x:c r="T13" s="9" t="n">
        <x:f>-'Taxes'!T22</x:f>
        <x:v>-2.75</x:v>
      </x:c>
      <x:c r="U13" s="9" t="n">
        <x:f>-'Taxes'!U22</x:f>
        <x:v>-2.75</x:v>
      </x:c>
      <x:c r="V13" s="9" t="n">
        <x:f>-'Taxes'!V22</x:f>
        <x:v>-2.75</x:v>
      </x:c>
      <x:c r="W13" s="9" t="n">
        <x:f>-'Taxes'!W22</x:f>
        <x:v>-2.75</x:v>
      </x:c>
      <x:c r="X13" s="9" t="n">
        <x:f>-'Taxes'!X22</x:f>
        <x:v>-2.75</x:v>
      </x:c>
      <x:c r="Y13" s="9" t="n">
        <x:f>-'Taxes'!Y22</x:f>
        <x:v>-2.75</x:v>
      </x:c>
      <x:c r="Z13" s="9" t="n">
        <x:f>-'Taxes'!Z22</x:f>
        <x:v>-2.75</x:v>
      </x:c>
      <x:c r="AA13" s="9" t="n">
        <x:f>-'Taxes'!AA22</x:f>
        <x:v>-2.75</x:v>
      </x:c>
      <x:c r="AB13" s="9" t="n">
        <x:f>-'Taxes'!AB22</x:f>
        <x:v>-2.75</x:v>
      </x:c>
      <x:c r="AC13" s="9" t="n">
        <x:f>-'Taxes'!AC22</x:f>
        <x:v>-2.75</x:v>
      </x:c>
      <x:c r="AD13" s="9" t="n">
        <x:f>-'Taxes'!AD22</x:f>
        <x:v>-2.75</x:v>
      </x:c>
    </x:row>
    <x:row r="14" ht="20" customHeight="1">
      <x:c r="A14" s="2"/>
      <x:c r="B14" s="2"/>
      <x:c r="C14" s="2" t="str">
        <x:v>Less increase in working capital</x:v>
      </x:c>
      <x:c r="D14" s="2" t="n">
        <x:f>SUM(K14:N14)</x:f>
        <x:v>-27.665422667039593</x:v>
      </x:c>
      <x:c r="E14" s="2" t="n">
        <x:f>SUM(O14:R14)</x:f>
        <x:v>-7.768136699888601</x:v>
      </x:c>
      <x:c r="F14" s="2" t="n">
        <x:f>SUM(S14:V14)</x:f>
        <x:v>-3.4525350084143156</x:v>
      </x:c>
      <x:c r="G14" s="2" t="n">
        <x:f>SUM(W14:Z14)</x:f>
        <x:v>-11.783724631359064</x:v>
      </x:c>
      <x:c r="H14" s="2" t="n">
        <x:f>SUM(AA14:AD14)</x:f>
        <x:v>-22.498885092696923</x:v>
      </x:c>
      <x:c r="I14" s="2"/>
      <x:c r="J14" s="2"/>
      <x:c r="K14" s="9" t="n">
        <x:f>-'Working Capital'!K16</x:f>
        <x:v>2.7364903764384962</x:v>
      </x:c>
      <x:c r="L14" s="9" t="n">
        <x:f>-'Working Capital'!L16</x:f>
        <x:v>-31.834297142857167</x:v>
      </x:c>
      <x:c r="M14" s="9" t="n">
        <x:f>-'Working Capital'!M16</x:f>
        <x:v>-56.595681987577564</x:v>
      </x:c>
      <x:c r="N14" s="9" t="n">
        <x:f>-'Working Capital'!N16</x:f>
        <x:v>58.02806608695664</x:v>
      </x:c>
      <x:c r="O14" s="9" t="n">
        <x:f>-'Working Capital'!O16</x:f>
        <x:v>22.774391533154812</x:v>
      </x:c>
      <x:c r="P14" s="9" t="n">
        <x:f>-'Working Capital'!P16</x:f>
        <x:v>-32.550390377142776</x:v>
      </x:c>
      <x:c r="Q14" s="9" t="n">
        <x:f>-'Working Capital'!Q16</x:f>
        <x:v>-57.511838638509516</x:v>
      </x:c>
      <x:c r="R14" s="9" t="n">
        <x:f>-'Working Capital'!R16</x:f>
        <x:v>59.51970078260888</x:v>
      </x:c>
      <x:c r="S14" s="9" t="n">
        <x:f>-'Working Capital'!S16</x:f>
        <x:v>31.58050134806558</x:v>
      </x:c>
      <x:c r="T14" s="9" t="n">
        <x:f>-'Working Capital'!T16</x:f>
        <x:v>-37.33801264369981</x:v>
      </x:c>
      <x:c r="U14" s="9" t="n">
        <x:f>-'Working Capital'!U16</x:f>
        <x:v>-58.00029897621175</x:v>
      </x:c>
      <x:c r="V14" s="9" t="n">
        <x:f>-'Working Capital'!V16</x:f>
        <x:v>60.30527526343167</x:v>
      </x:c>
      <x:c r="W14" s="9" t="n">
        <x:f>-'Working Capital'!W16</x:f>
        <x:v>19.520313977375736</x:v>
      </x:c>
      <x:c r="X14" s="9" t="n">
        <x:f>-'Working Capital'!X16</x:f>
        <x:v>-33.96463254501032</x:v>
      </x:c>
      <x:c r="Y14" s="9" t="n">
        <x:f>-'Working Capital'!Y16</x:f>
        <x:v>-59.63906114802762</x:v>
      </x:c>
      <x:c r="Z14" s="9" t="n">
        <x:f>-'Working Capital'!Z16</x:f>
        <x:v>62.29965508430314</x:v>
      </x:c>
      <x:c r="AA14" s="9" t="n">
        <x:f>-'Working Capital'!AA16</x:f>
        <x:v>9.497430347686645</x:v>
      </x:c>
      <x:c r="AB14" s="9" t="n">
        <x:f>-'Working Capital'!AB16</x:f>
        <x:v>-35.03336273870741</x:v>
      </x:c>
      <x:c r="AC14" s="9" t="n">
        <x:f>-'Working Capital'!AC16</x:f>
        <x:v>-61.32333044337088</x:v>
      </x:c>
      <x:c r="AD14" s="9" t="n">
        <x:f>-'Working Capital'!AD16</x:f>
        <x:v>64.36037774169472</x:v>
      </x:c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 t="str">
        <x:v>Cash from operations</x:v>
      </x:c>
      <x:c r="D16" s="2" t="n">
        <x:f>SUM(K16:N16)</x:f>
        <x:v>205.87427521884155</x:v>
      </x:c>
      <x:c r="E16" s="2" t="n">
        <x:f>SUM(O16:R16)</x:f>
        <x:v>253.76099845252543</x:v>
      </x:c>
      <x:c r="F16" s="2" t="n">
        <x:f>SUM(S16:V16)</x:f>
        <x:v>309.4468176003967</x:v>
      </x:c>
      <x:c r="G16" s="2" t="n">
        <x:f>SUM(W16:Z16)</x:f>
        <x:v>353.7698543075294</x:v>
      </x:c>
      <x:c r="H16" s="2" t="n">
        <x:f>SUM(AA16:AD16)</x:f>
        <x:v>399.96314398368077</x:v>
      </x:c>
      <x:c r="I16" s="2"/>
      <x:c r="J16" s="2"/>
      <x:c r="K16" s="2" t="n">
        <x:f>SUM(K10:K14)</x:f>
        <x:v>38.95357509105644</x:v>
      </x:c>
      <x:c r="L16" s="2" t="n">
        <x:f>SUM(L10:L14)</x:f>
        <x:v>22.23453785271937</x:v>
      </x:c>
      <x:c r="M16" s="2" t="n">
        <x:f>SUM(M10:M14)</x:f>
        <x:v>29.150587267030716</x:v>
      </x:c>
      <x:c r="N16" s="2" t="n">
        <x:f>SUM(N10:N14)</x:f>
        <x:v>115.53557500803501</x:v>
      </x:c>
      <x:c r="O16" s="2" t="n">
        <x:f>SUM(O10:O14)</x:f>
        <x:v>65.10797490561774</x:v>
      </x:c>
      <x:c r="P16" s="2" t="n">
        <x:f>SUM(P10:P14)</x:f>
        <x:v>28.55956089023929</x:v>
      </x:c>
      <x:c r="Q16" s="2" t="n">
        <x:f>SUM(Q10:Q14)</x:f>
        <x:v>35.95894347251176</x:v>
      </x:c>
      <x:c r="R16" s="2" t="n">
        <x:f>SUM(R10:R14)</x:f>
        <x:v>124.13451918415664</x:v>
      </x:c>
      <x:c r="S16" s="2" t="n">
        <x:f>SUM(S10:S14)</x:f>
        <x:v>84.95498069075536</x:v>
      </x:c>
      <x:c r="T16" s="2" t="n">
        <x:f>SUM(T10:T14)</x:f>
        <x:v>36.550728961719614</x:v>
      </x:c>
      <x:c r="U16" s="2" t="n">
        <x:f>SUM(U10:U14)</x:f>
        <x:v>49.82861847544376</x:v>
      </x:c>
      <x:c r="V16" s="2" t="n">
        <x:f>SUM(V10:V14)</x:f>
        <x:v>138.1124894724779</x:v>
      </x:c>
      <x:c r="W16" s="2" t="n">
        <x:f>SUM(W10:W14)</x:f>
        <x:v>85.15896583328812</x:v>
      </x:c>
      <x:c r="X16" s="2" t="n">
        <x:f>SUM(X10:X14)</x:f>
        <x:v>52.598324931513574</x:v>
      </x:c>
      <x:c r="Y16" s="2" t="n">
        <x:f>SUM(Y10:Y14)</x:f>
        <x:v>62.66398830894754</x:v>
      </x:c>
      <x:c r="Z16" s="2" t="n">
        <x:f>SUM(Z10:Z14)</x:f>
        <x:v>153.34857523378014</x:v>
      </x:c>
      <x:c r="AA16" s="2" t="n">
        <x:f>SUM(AA10:AA14)</x:f>
        <x:v>88.03595394731599</x:v>
      </x:c>
      <x:c r="AB16" s="2" t="n">
        <x:f>SUM(AB10:AB14)</x:f>
        <x:v>65.43774658713994</x:v>
      </x:c>
      <x:c r="AC16" s="2" t="n">
        <x:f>SUM(AC10:AC14)</x:f>
        <x:v>76.67614293608568</x:v>
      </x:c>
      <x:c r="AD16" s="2" t="n">
        <x:f>SUM(AD10:AD14)</x:f>
        <x:v>169.81330051313915</x:v>
      </x:c>
    </x:row>
    <x:row r="17" ht="20" customHeight="1">
      <x:c r="A17" s="2"/>
      <x:c r="B17" s="2"/>
      <x:c r="C17" s="2" t="str">
        <x:v>Capital expenditures</x:v>
      </x:c>
      <x:c r="D17" s="2" t="n">
        <x:f>SUM(K17:N17)</x:f>
        <x:v>-104.5786161</x:v>
      </x:c>
      <x:c r="E17" s="2" t="n">
        <x:f>SUM(O17:R17)</x:f>
        <x:v>-100.7876149236</x:v>
      </x:c>
      <x:c r="F17" s="2" t="n">
        <x:f>SUM(S17:V17)</x:f>
        <x:v>-100.79131935852286</x:v>
      </x:c>
      <x:c r="G17" s="2" t="n">
        <x:f>SUM(W17:Z17)</x:f>
        <x:v>-97.44871407353399</x:v>
      </x:c>
      <x:c r="H17" s="2" t="n">
        <x:f>SUM(AA17:AD17)</x:f>
        <x:v>-100.49850607161434</x:v>
      </x:c>
      <x:c r="I17" s="2"/>
      <x:c r="J17" s="2"/>
      <x:c r="K17" s="9" t="n">
        <x:f>-'Capex &amp; DA'!K10</x:f>
        <x:v>-23.491314000000003</x:v>
      </x:c>
      <x:c r="L17" s="9" t="n">
        <x:f>-'Capex &amp; DA'!L10</x:f>
        <x:v>-25.7021793</x:v>
      </x:c>
      <x:c r="M17" s="9" t="n">
        <x:f>-'Capex &amp; DA'!M10</x:f>
        <x:v>-29.489199600000006</x:v>
      </x:c>
      <x:c r="N17" s="9" t="n">
        <x:f>-'Capex &amp; DA'!N10</x:f>
        <x:v>-25.8959232</x:v>
      </x:c>
      <x:c r="O17" s="9" t="n">
        <x:f>-'Capex &amp; DA'!O10</x:f>
        <x:v>-22.6519810308</x:v>
      </x:c>
      <x:c r="P17" s="9" t="n">
        <x:f>-'Capex &amp; DA'!P10</x:f>
        <x:v>-24.7834547532</x:v>
      </x:c>
      <x:c r="Q17" s="9" t="n">
        <x:f>-'Capex &amp; DA'!Q10</x:f>
        <x:v>-28.413606988800005</x:v>
      </x:c>
      <x:c r="R17" s="9" t="n">
        <x:f>-'Capex &amp; DA'!R10</x:f>
        <x:v>-24.938572150799995</x:v>
      </x:c>
      <x:c r="S17" s="9" t="n">
        <x:f>-'Capex &amp; DA'!S10</x:f>
        <x:v>-22.658911008687355</x:v>
      </x:c>
      <x:c r="T17" s="9" t="n">
        <x:f>-'Capex &amp; DA'!T10</x:f>
        <x:v>-24.790838318853115</x:v>
      </x:c>
      <x:c r="U17" s="9" t="n">
        <x:f>-'Capex &amp; DA'!U10</x:f>
        <x:v>-28.41136080348672</x:v>
      </x:c>
      <x:c r="V17" s="9" t="n">
        <x:f>-'Capex &amp; DA'!V10</x:f>
        <x:v>-24.930209227495673</x:v>
      </x:c>
      <x:c r="W17" s="9" t="n">
        <x:f>-'Capex &amp; DA'!W10</x:f>
        <x:v>-21.913371296129554</x:v>
      </x:c>
      <x:c r="X17" s="9" t="n">
        <x:f>-'Capex &amp; DA'!X10</x:f>
        <x:v>-23.974960000358678</x:v>
      </x:c>
      <x:c r="Y17" s="9" t="n">
        <x:f>-'Capex &amp; DA'!Y10</x:f>
        <x:v>-27.465946761392267</x:v>
      </x:c>
      <x:c r="Z17" s="9" t="n">
        <x:f>-'Capex &amp; DA'!Z10</x:f>
        <x:v>-24.0944360156535</x:v>
      </x:c>
      <x:c r="AA17" s="9" t="n">
        <x:f>-'Capex &amp; DA'!AA10</x:f>
        <x:v>-22.605294563630935</x:v>
      </x:c>
      <x:c r="AB17" s="9" t="n">
        <x:f>-'Capex &amp; DA'!AB10</x:f>
        <x:v>-24.73177980276941</x:v>
      </x:c>
      <x:c r="AC17" s="9" t="n">
        <x:f>-'Capex &amp; DA'!AC10</x:f>
        <x:v>-28.322231956205794</x:v>
      </x:c>
      <x:c r="AD17" s="9" t="n">
        <x:f>-'Capex &amp; DA'!AD10</x:f>
        <x:v>-24.839199749008202</x:v>
      </x:c>
    </x:row>
    <x:row r="18" ht="2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0" customHeight="1">
      <x:c r="A19" s="2"/>
      <x:c r="B19" s="2"/>
      <x:c r="C19" s="2" t="str">
        <x:v>Cash flow before principal</x:v>
      </x:c>
      <x:c r="D19" s="2" t="n">
        <x:f>SUM(K19:N19)</x:f>
        <x:v>101.29565911884153</x:v>
      </x:c>
      <x:c r="E19" s="2" t="n">
        <x:f>SUM(O19:R19)</x:f>
        <x:v>152.97338352892544</x:v>
      </x:c>
      <x:c r="F19" s="2" t="n">
        <x:f>SUM(S19:V19)</x:f>
        <x:v>208.65549824187377</x:v>
      </x:c>
      <x:c r="G19" s="2" t="n">
        <x:f>SUM(W19:Z19)</x:f>
        <x:v>256.3211402339954</x:v>
      </x:c>
      <x:c r="H19" s="2" t="n">
        <x:f>SUM(AA19:AD19)</x:f>
        <x:v>299.46463791206645</x:v>
      </x:c>
      <x:c r="I19" s="2"/>
      <x:c r="J19" s="2"/>
      <x:c r="K19" s="2" t="n">
        <x:f>K16+K17</x:f>
        <x:v>15.46226109105644</x:v>
      </x:c>
      <x:c r="L19" s="2" t="n">
        <x:f>L16+L17</x:f>
        <x:v>-3.4676414472806307</x:v>
      </x:c>
      <x:c r="M19" s="2" t="n">
        <x:f>M16+M17</x:f>
        <x:v>-0.3386123329692907</x:v>
      </x:c>
      <x:c r="N19" s="2" t="n">
        <x:f>N16+N17</x:f>
        <x:v>89.63965180803501</x:v>
      </x:c>
      <x:c r="O19" s="2" t="n">
        <x:f>O16+O17</x:f>
        <x:v>42.455993874817736</x:v>
      </x:c>
      <x:c r="P19" s="2" t="n">
        <x:f>P16+P17</x:f>
        <x:v>3.7761061370392888</x:v>
      </x:c>
      <x:c r="Q19" s="2" t="n">
        <x:f>Q16+Q17</x:f>
        <x:v>7.545336483711758</x:v>
      </x:c>
      <x:c r="R19" s="2" t="n">
        <x:f>R16+R17</x:f>
        <x:v>99.19594703335665</x:v>
      </x:c>
      <x:c r="S19" s="2" t="n">
        <x:f>S16+S17</x:f>
        <x:v>62.29606968206801</x:v>
      </x:c>
      <x:c r="T19" s="2" t="n">
        <x:f>T16+T17</x:f>
        <x:v>11.759890642866498</x:v>
      </x:c>
      <x:c r="U19" s="2" t="n">
        <x:f>U16+U17</x:f>
        <x:v>21.417257671957042</x:v>
      </x:c>
      <x:c r="V19" s="2" t="n">
        <x:f>V16+V17</x:f>
        <x:v>113.18228024498222</x:v>
      </x:c>
      <x:c r="W19" s="2" t="n">
        <x:f>W16+W17</x:f>
        <x:v>63.24559453715857</x:v>
      </x:c>
      <x:c r="X19" s="2" t="n">
        <x:f>X16+X17</x:f>
        <x:v>28.623364931154896</x:v>
      </x:c>
      <x:c r="Y19" s="2" t="n">
        <x:f>Y16+Y17</x:f>
        <x:v>35.19804154755527</x:v>
      </x:c>
      <x:c r="Z19" s="2" t="n">
        <x:f>Z16+Z17</x:f>
        <x:v>129.25413921812662</x:v>
      </x:c>
      <x:c r="AA19" s="2" t="n">
        <x:f>AA16+AA17</x:f>
        <x:v>65.43065938368505</x:v>
      </x:c>
      <x:c r="AB19" s="2" t="n">
        <x:f>AB16+AB17</x:f>
        <x:v>40.70596678437053</x:v>
      </x:c>
      <x:c r="AC19" s="2" t="n">
        <x:f>AC16+AC17</x:f>
        <x:v>48.353910979879885</x:v>
      </x:c>
      <x:c r="AD19" s="2" t="n">
        <x:f>AD16+AD17</x:f>
        <x:v>144.97410076413095</x:v>
      </x:c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20" customHeight="1">
      <x:c r="A21" s="2"/>
      <x:c r="B21" s="2"/>
      <x:c r="C21" s="2" t="str">
        <x:v>Revolver draw</x:v>
      </x:c>
      <x:c r="D21" s="2" t="n">
        <x:f>SUM(K21:N21)</x:f>
        <x:v>13.90125378024991</x:v>
      </x:c>
      <x:c r="E21" s="2" t="n">
        <x:f>SUM(O21:R21)</x:f>
        <x:v>1.271393862960707</x:v>
      </x:c>
      <x:c r="F21" s="2" t="n">
        <x:f>SUM(S21:V21)</x:f>
        <x:v>0</x:v>
      </x:c>
      <x:c r="G21" s="2" t="n">
        <x:f>SUM(W21:Z21)</x:f>
        <x:v>0</x:v>
      </x:c>
      <x:c r="H21" s="2" t="n">
        <x:f>SUM(AA21:AD21)</x:f>
        <x:v>0</x:v>
      </x:c>
      <x:c r="I21" s="2"/>
      <x:c r="J21" s="2"/>
      <x:c r="K21" s="9" t="n">
        <x:f>'Debt Schedule'!K29</x:f>
        <x:v>0</x:v>
      </x:c>
      <x:c r="L21" s="9" t="n">
        <x:f>'Debt Schedule'!L29</x:f>
        <x:v>8.515141447280634</x:v>
      </x:c>
      <x:c r="M21" s="9" t="n">
        <x:f>'Debt Schedule'!M29</x:f>
        <x:v>5.386112332969276</x:v>
      </x:c>
      <x:c r="N21" s="9" t="n">
        <x:f>'Debt Schedule'!N29</x:f>
        <x:v>0</x:v>
      </x:c>
      <x:c r="O21" s="9" t="n">
        <x:f>'Debt Schedule'!O29</x:f>
        <x:v>0</x:v>
      </x:c>
      <x:c r="P21" s="9" t="n">
        <x:f>'Debt Schedule'!P29</x:f>
        <x:v>1.271393862960707</x:v>
      </x:c>
      <x:c r="Q21" s="9" t="n">
        <x:f>'Debt Schedule'!Q29</x:f>
        <x:v>0</x:v>
      </x:c>
      <x:c r="R21" s="9" t="n">
        <x:f>'Debt Schedule'!R29</x:f>
        <x:v>0</x:v>
      </x:c>
      <x:c r="S21" s="9" t="n">
        <x:f>'Debt Schedule'!S29</x:f>
        <x:v>0</x:v>
      </x:c>
      <x:c r="T21" s="9" t="n">
        <x:f>'Debt Schedule'!T29</x:f>
        <x:v>0</x:v>
      </x:c>
      <x:c r="U21" s="9" t="n">
        <x:f>'Debt Schedule'!U29</x:f>
        <x:v>0</x:v>
      </x:c>
      <x:c r="V21" s="9" t="n">
        <x:f>'Debt Schedule'!V29</x:f>
        <x:v>0</x:v>
      </x:c>
      <x:c r="W21" s="9" t="n">
        <x:f>'Debt Schedule'!W29</x:f>
        <x:v>0</x:v>
      </x:c>
      <x:c r="X21" s="9" t="n">
        <x:f>'Debt Schedule'!X29</x:f>
        <x:v>0</x:v>
      </x:c>
      <x:c r="Y21" s="9" t="n">
        <x:f>'Debt Schedule'!Y29</x:f>
        <x:v>0</x:v>
      </x:c>
      <x:c r="Z21" s="9" t="n">
        <x:f>'Debt Schedule'!Z29</x:f>
        <x:v>0</x:v>
      </x:c>
      <x:c r="AA21" s="9" t="n">
        <x:f>'Debt Schedule'!AA29</x:f>
        <x:v>0</x:v>
      </x:c>
      <x:c r="AB21" s="9" t="n">
        <x:f>'Debt Schedule'!AB29</x:f>
        <x:v>0</x:v>
      </x:c>
      <x:c r="AC21" s="9" t="n">
        <x:f>'Debt Schedule'!AC29</x:f>
        <x:v>0</x:v>
      </x:c>
      <x:c r="AD21" s="9" t="n">
        <x:f>'Debt Schedule'!AD29</x:f>
        <x:v>0</x:v>
      </x:c>
    </x:row>
    <x:row r="22" ht="20" customHeight="1">
      <x:c r="A22" s="2"/>
      <x:c r="B22" s="2"/>
      <x:c r="C22" s="2" t="str">
        <x:v>Debt principal repayments</x:v>
      </x:c>
      <x:c r="D22" s="2" t="n">
        <x:f>SUM(K22:N22)</x:f>
        <x:v>-115.19691289909146</x:v>
      </x:c>
      <x:c r="E22" s="2" t="n">
        <x:f>SUM(O22:R22)</x:f>
        <x:v>-154.24477739188615</x:v>
      </x:c>
      <x:c r="F22" s="2" t="n">
        <x:f>SUM(S22:V22)</x:f>
        <x:v>-208.65549824187377</x:v>
      </x:c>
      <x:c r="G22" s="2" t="n">
        <x:f>SUM(W22:Z22)</x:f>
        <x:v>-256.3211402339954</x:v>
      </x:c>
      <x:c r="H22" s="2" t="n">
        <x:f>SUM(AA22:AD22)</x:f>
        <x:v>-299.46463791206645</x:v>
      </x:c>
      <x:c r="I22" s="2"/>
      <x:c r="J22" s="2"/>
      <x:c r="K22" s="9" t="n">
        <x:f>-'Debt Schedule'!K26-'Debt Schedule'!K27-'Debt Schedule'!K31-'Debt Schedule'!K32</x:f>
        <x:v>-15.462261091056442</x:v>
      </x:c>
      <x:c r="L22" s="9" t="n">
        <x:f>-'Debt Schedule'!L26-'Debt Schedule'!L27-'Debt Schedule'!L31-'Debt Schedule'!L32</x:f>
        <x:v>-5.047500000000001</x:v>
      </x:c>
      <x:c r="M22" s="9" t="n">
        <x:f>-'Debt Schedule'!M26-'Debt Schedule'!M27-'Debt Schedule'!M31-'Debt Schedule'!M32</x:f>
        <x:v>-5.047500000000001</x:v>
      </x:c>
      <x:c r="N22" s="9" t="n">
        <x:f>-'Debt Schedule'!N26-'Debt Schedule'!N27-'Debt Schedule'!N31-'Debt Schedule'!N32</x:f>
        <x:v>-89.63965180803501</x:v>
      </x:c>
      <x:c r="O22" s="9" t="n">
        <x:f>-'Debt Schedule'!O26-'Debt Schedule'!O27-'Debt Schedule'!O31-'Debt Schedule'!O32</x:f>
        <x:v>-42.45599387481776</x:v>
      </x:c>
      <x:c r="P22" s="9" t="n">
        <x:f>-'Debt Schedule'!P26-'Debt Schedule'!P27-'Debt Schedule'!P31-'Debt Schedule'!P32</x:f>
        <x:v>-5.047500000000001</x:v>
      </x:c>
      <x:c r="Q22" s="9" t="n">
        <x:f>-'Debt Schedule'!Q26-'Debt Schedule'!Q27-'Debt Schedule'!Q31-'Debt Schedule'!Q32</x:f>
        <x:v>-7.545336483711745</x:v>
      </x:c>
      <x:c r="R22" s="9" t="n">
        <x:f>-'Debt Schedule'!R26-'Debt Schedule'!R27-'Debt Schedule'!R31-'Debt Schedule'!R32</x:f>
        <x:v>-99.19594703335663</x:v>
      </x:c>
      <x:c r="S22" s="9" t="n">
        <x:f>-'Debt Schedule'!S26-'Debt Schedule'!S27-'Debt Schedule'!S31-'Debt Schedule'!S32</x:f>
        <x:v>-62.296069682068016</x:v>
      </x:c>
      <x:c r="T22" s="9" t="n">
        <x:f>-'Debt Schedule'!T26-'Debt Schedule'!T27-'Debt Schedule'!T31-'Debt Schedule'!T32</x:f>
        <x:v>-11.75989064286649</x:v>
      </x:c>
      <x:c r="U22" s="9" t="n">
        <x:f>-'Debt Schedule'!U26-'Debt Schedule'!U27-'Debt Schedule'!U31-'Debt Schedule'!U32</x:f>
        <x:v>-21.41725767195704</x:v>
      </x:c>
      <x:c r="V22" s="9" t="n">
        <x:f>-'Debt Schedule'!V26-'Debt Schedule'!V27-'Debt Schedule'!V31-'Debt Schedule'!V32</x:f>
        <x:v>-113.18228024498221</x:v>
      </x:c>
      <x:c r="W22" s="9" t="n">
        <x:f>-'Debt Schedule'!W26-'Debt Schedule'!W27-'Debt Schedule'!W31-'Debt Schedule'!W32</x:f>
        <x:v>-63.24559453715859</x:v>
      </x:c>
      <x:c r="X22" s="9" t="n">
        <x:f>-'Debt Schedule'!X26-'Debt Schedule'!X27-'Debt Schedule'!X31-'Debt Schedule'!X32</x:f>
        <x:v>-28.623364931154903</x:v>
      </x:c>
      <x:c r="Y22" s="9" t="n">
        <x:f>-'Debt Schedule'!Y26-'Debt Schedule'!Y27-'Debt Schedule'!Y31-'Debt Schedule'!Y32</x:f>
        <x:v>-35.198041547555256</x:v>
      </x:c>
      <x:c r="Z22" s="9" t="n">
        <x:f>-'Debt Schedule'!Z26-'Debt Schedule'!Z27-'Debt Schedule'!Z31-'Debt Schedule'!Z32</x:f>
        <x:v>-129.25413921812662</x:v>
      </x:c>
      <x:c r="AA22" s="9" t="n">
        <x:f>-'Debt Schedule'!AA26-'Debt Schedule'!AA27-'Debt Schedule'!AA31-'Debt Schedule'!AA32</x:f>
        <x:v>-65.43065938368507</x:v>
      </x:c>
      <x:c r="AB22" s="9" t="n">
        <x:f>-'Debt Schedule'!AB26-'Debt Schedule'!AB27-'Debt Schedule'!AB31-'Debt Schedule'!AB32</x:f>
        <x:v>-40.70596678437054</x:v>
      </x:c>
      <x:c r="AC22" s="9" t="n">
        <x:f>-'Debt Schedule'!AC26-'Debt Schedule'!AC27-'Debt Schedule'!AC31-'Debt Schedule'!AC32</x:f>
        <x:v>-48.35391097987986</x:v>
      </x:c>
      <x:c r="AD22" s="9" t="n">
        <x:f>-'Debt Schedule'!AD26-'Debt Schedule'!AD27-'Debt Schedule'!AD31-'Debt Schedule'!AD32</x:f>
        <x:v>-144.97410076413098</x:v>
      </x:c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 t="str">
        <x:v>Net change in cash</x:v>
      </x:c>
      <x:c r="D24" s="2" t="n">
        <x:f>SUM(K24:N24)</x:f>
        <x:v>-1.5987211554602254e-14</x:v>
      </x:c>
      <x:c r="E24" s="2" t="n">
        <x:f>SUM(O24:R24)</x:f>
        <x:v>0</x:v>
      </x:c>
      <x:c r="F24" s="2" t="n">
        <x:f>SUM(S24:V24)</x:f>
        <x:v>1.9539925233402755e-14</x:v>
      </x:c>
      <x:c r="G24" s="2" t="n">
        <x:f>SUM(W24:Z24)</x:f>
        <x:v>-1.4210854715202004e-14</x:v>
      </x:c>
      <x:c r="H24" s="2" t="n">
        <x:f>SUM(AA24:AD24)</x:f>
        <x:v>-2.842170943040401e-14</x:v>
      </x:c>
      <x:c r="I24" s="2"/>
      <x:c r="J24" s="2"/>
      <x:c r="K24" s="2" t="n">
        <x:f>K19+K21+K22</x:f>
        <x:v>-1.7763568394002505e-15</x:v>
      </x:c>
      <x:c r="L24" s="2" t="n">
        <x:f>L19+L21+L22</x:f>
        <x:v>1.7763568394002505e-15</x:v>
      </x:c>
      <x:c r="M24" s="2" t="n">
        <x:f>M19+M21+M22</x:f>
        <x:v>-1.5987211554602254e-14</x:v>
      </x:c>
      <x:c r="N24" s="2" t="n">
        <x:f>N19+N21+N22</x:f>
        <x:v>0</x:v>
      </x:c>
      <x:c r="O24" s="2" t="n">
        <x:f>O19+O21+O22</x:f>
        <x:v>-2.1316282072803006e-14</x:v>
      </x:c>
      <x:c r="P24" s="2" t="n">
        <x:f>P19+P21+P22</x:f>
        <x:v>-5.329070518200751e-15</x:v>
      </x:c>
      <x:c r="Q24" s="2" t="n">
        <x:f>Q19+Q21+Q22</x:f>
        <x:v>1.2434497875801753e-14</x:v>
      </x:c>
      <x:c r="R24" s="2" t="n">
        <x:f>R19+R21+R22</x:f>
        <x:v>1.4210854715202004e-14</x:v>
      </x:c>
      <x:c r="S24" s="2" t="n">
        <x:f>S19+S21+S22</x:f>
        <x:v>-7.105427357601002e-15</x:v>
      </x:c>
      <x:c r="T24" s="2" t="n">
        <x:f>T19+T21+T22</x:f>
        <x:v>8.881784197001252e-15</x:v>
      </x:c>
      <x:c r="U24" s="2" t="n">
        <x:f>U19+U21+U22</x:f>
        <x:v>3.552713678800501e-15</x:v>
      </x:c>
      <x:c r="V24" s="2" t="n">
        <x:f>V19+V21+V22</x:f>
        <x:v>1.4210854715202004e-14</x:v>
      </x:c>
      <x:c r="W24" s="2" t="n">
        <x:f>W19+W21+W22</x:f>
        <x:v>-2.1316282072803006e-14</x:v>
      </x:c>
      <x:c r="X24" s="2" t="n">
        <x:f>X19+X21+X22</x:f>
        <x:v>-7.105427357601002e-15</x:v>
      </x:c>
      <x:c r="Y24" s="2" t="n">
        <x:f>Y19+Y21+Y22</x:f>
        <x:v>1.4210854715202004e-14</x:v>
      </x:c>
      <x:c r="Z24" s="2" t="n">
        <x:f>Z19+Z21+Z22</x:f>
        <x:v>0</x:v>
      </x:c>
      <x:c r="AA24" s="2" t="n">
        <x:f>AA19+AA21+AA22</x:f>
        <x:v>-1.4210854715202004e-14</x:v>
      </x:c>
      <x:c r="AB24" s="2" t="n">
        <x:f>AB19+AB21+AB22</x:f>
        <x:v>-7.105427357601002e-15</x:v>
      </x:c>
      <x:c r="AC24" s="2" t="n">
        <x:f>AC19+AC21+AC22</x:f>
        <x:v>2.1316282072803006e-14</x:v>
      </x:c>
      <x:c r="AD24" s="2" t="n">
        <x:f>AD19+AD21+AD22</x:f>
        <x:v>-2.842170943040401e-14</x:v>
      </x:c>
    </x:row>
    <x:row r="25" ht="20" customHeight="1">
      <x:c r="A25" s="2"/>
      <x:c r="B25" s="2"/>
      <x:c r="C25" s="2" t="str">
        <x:v>Opening cash</x:v>
      </x:c>
      <x:c r="D25" s="2" t="n">
        <x:f>K25</x:f>
        <x:v>59.053999999999995</x:v>
      </x:c>
      <x:c r="E25" s="2" t="n">
        <x:f>O25</x:f>
        <x:v>59.05399999999998</x:v>
      </x:c>
      <x:c r="F25" s="2" t="n">
        <x:f>S25</x:f>
        <x:v>59.05399999999998</x:v>
      </x:c>
      <x:c r="G25" s="2" t="n">
        <x:f>W25</x:f>
        <x:v>59.054</x:v>
      </x:c>
      <x:c r="H25" s="2" t="n">
        <x:f>AA25</x:f>
        <x:v>59.05399999999999</x:v>
      </x:c>
      <x:c r="I25" s="2"/>
      <x:c r="J25" s="2"/>
      <x:c r="K25" s="9" t="n">
        <x:f>'Sources &amp; Uses'!D22</x:f>
        <x:v>59.053999999999995</x:v>
      </x:c>
      <x:c r="L25" s="2" t="n">
        <x:f>K27</x:f>
        <x:v>59.053999999999995</x:v>
      </x:c>
      <x:c r="M25" s="2" t="n">
        <x:f>L27</x:f>
        <x:v>59.053999999999995</x:v>
      </x:c>
      <x:c r="N25" s="2" t="n">
        <x:f>M27</x:f>
        <x:v>59.05399999999998</x:v>
      </x:c>
      <x:c r="O25" s="2" t="n">
        <x:f>N27</x:f>
        <x:v>59.05399999999998</x:v>
      </x:c>
      <x:c r="P25" s="2" t="n">
        <x:f>O27</x:f>
        <x:v>59.05399999999996</x:v>
      </x:c>
      <x:c r="Q25" s="2" t="n">
        <x:f>P27</x:f>
        <x:v>59.05399999999995</x:v>
      </x:c>
      <x:c r="R25" s="2" t="n">
        <x:f>Q27</x:f>
        <x:v>59.05399999999997</x:v>
      </x:c>
      <x:c r="S25" s="2" t="n">
        <x:f>R27</x:f>
        <x:v>59.05399999999998</x:v>
      </x:c>
      <x:c r="T25" s="2" t="n">
        <x:f>S27</x:f>
        <x:v>59.053999999999974</x:v>
      </x:c>
      <x:c r="U25" s="2" t="n">
        <x:f>T27</x:f>
        <x:v>59.05399999999998</x:v>
      </x:c>
      <x:c r="V25" s="2" t="n">
        <x:f>U27</x:f>
        <x:v>59.05399999999999</x:v>
      </x:c>
      <x:c r="W25" s="2" t="n">
        <x:f>V27</x:f>
        <x:v>59.054</x:v>
      </x:c>
      <x:c r="X25" s="2" t="n">
        <x:f>W27</x:f>
        <x:v>59.05399999999998</x:v>
      </x:c>
      <x:c r="Y25" s="2" t="n">
        <x:f>X27</x:f>
        <x:v>59.053999999999974</x:v>
      </x:c>
      <x:c r="Z25" s="2" t="n">
        <x:f>Y27</x:f>
        <x:v>59.05399999999999</x:v>
      </x:c>
      <x:c r="AA25" s="2" t="n">
        <x:f>Z27</x:f>
        <x:v>59.05399999999999</x:v>
      </x:c>
      <x:c r="AB25" s="2" t="n">
        <x:f>AA27</x:f>
        <x:v>59.053999999999974</x:v>
      </x:c>
      <x:c r="AC25" s="2" t="n">
        <x:f>AB27</x:f>
        <x:v>59.05399999999997</x:v>
      </x:c>
      <x:c r="AD25" s="2" t="n">
        <x:f>AC27</x:f>
        <x:v>59.05399999999999</x:v>
      </x:c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20" customHeight="1">
      <x:c r="A27" s="2"/>
      <x:c r="B27" s="2"/>
      <x:c r="C27" s="2" t="str">
        <x:v>Ending cash</x:v>
      </x:c>
      <x:c r="D27" s="2" t="n">
        <x:f>N27</x:f>
        <x:v>59.05399999999998</x:v>
      </x:c>
      <x:c r="E27" s="2" t="n">
        <x:f>R27</x:f>
        <x:v>59.05399999999998</x:v>
      </x:c>
      <x:c r="F27" s="2" t="n">
        <x:f>V27</x:f>
        <x:v>59.054</x:v>
      </x:c>
      <x:c r="G27" s="2" t="n">
        <x:f>Z27</x:f>
        <x:v>59.05399999999999</x:v>
      </x:c>
      <x:c r="H27" s="2" t="n">
        <x:f>AD27</x:f>
        <x:v>59.05399999999996</x:v>
      </x:c>
      <x:c r="I27" s="2"/>
      <x:c r="J27" s="2"/>
      <x:c r="K27" s="2" t="n">
        <x:f>K25+K24</x:f>
        <x:v>59.053999999999995</x:v>
      </x:c>
      <x:c r="L27" s="2" t="n">
        <x:f>L25+L24</x:f>
        <x:v>59.053999999999995</x:v>
      </x:c>
      <x:c r="M27" s="2" t="n">
        <x:f>M25+M24</x:f>
        <x:v>59.05399999999998</x:v>
      </x:c>
      <x:c r="N27" s="2" t="n">
        <x:f>N25+N24</x:f>
        <x:v>59.05399999999998</x:v>
      </x:c>
      <x:c r="O27" s="2" t="n">
        <x:f>O25+O24</x:f>
        <x:v>59.05399999999996</x:v>
      </x:c>
      <x:c r="P27" s="2" t="n">
        <x:f>P25+P24</x:f>
        <x:v>59.05399999999995</x:v>
      </x:c>
      <x:c r="Q27" s="2" t="n">
        <x:f>Q25+Q24</x:f>
        <x:v>59.05399999999997</x:v>
      </x:c>
      <x:c r="R27" s="2" t="n">
        <x:f>R25+R24</x:f>
        <x:v>59.05399999999998</x:v>
      </x:c>
      <x:c r="S27" s="2" t="n">
        <x:f>S25+S24</x:f>
        <x:v>59.053999999999974</x:v>
      </x:c>
      <x:c r="T27" s="2" t="n">
        <x:f>T25+T24</x:f>
        <x:v>59.05399999999998</x:v>
      </x:c>
      <x:c r="U27" s="2" t="n">
        <x:f>U25+U24</x:f>
        <x:v>59.05399999999999</x:v>
      </x:c>
      <x:c r="V27" s="2" t="n">
        <x:f>V25+V24</x:f>
        <x:v>59.054</x:v>
      </x:c>
      <x:c r="W27" s="2" t="n">
        <x:f>W25+W24</x:f>
        <x:v>59.05399999999998</x:v>
      </x:c>
      <x:c r="X27" s="2" t="n">
        <x:f>X25+X24</x:f>
        <x:v>59.053999999999974</x:v>
      </x:c>
      <x:c r="Y27" s="2" t="n">
        <x:f>Y25+Y24</x:f>
        <x:v>59.05399999999999</x:v>
      </x:c>
      <x:c r="Z27" s="2" t="n">
        <x:f>Z25+Z24</x:f>
        <x:v>59.05399999999999</x:v>
      </x:c>
      <x:c r="AA27" s="2" t="n">
        <x:f>AA25+AA24</x:f>
        <x:v>59.053999999999974</x:v>
      </x:c>
      <x:c r="AB27" s="2" t="n">
        <x:f>AB25+AB24</x:f>
        <x:v>59.05399999999997</x:v>
      </x:c>
      <x:c r="AC27" s="2" t="n">
        <x:f>AC25+AC24</x:f>
        <x:v>59.05399999999999</x:v>
      </x:c>
      <x:c r="AD27" s="2" t="n">
        <x:f>AD25+AD24</x:f>
        <x:v>59.05399999999996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Balance Sheet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 s="8" t="n">
        <x:v>2026</x:v>
      </x:c>
      <x:c r="E8" s="8" t="n">
        <x:v>2027</x:v>
      </x:c>
      <x:c r="F8" s="8" t="n">
        <x:v>2028</x:v>
      </x:c>
      <x:c r="G8" s="8" t="n">
        <x:v>2029</x:v>
      </x:c>
      <x:c r="H8" s="8" t="n">
        <x:v>2030</x:v>
      </x:c>
      <x:c r="I8" s="2"/>
      <x:c r="J8" s="2"/>
      <x:c r="K8" s="11" t="n">
        <x:v>46112</x:v>
      </x:c>
      <x:c r="L8" s="11" t="n">
        <x:v>46203</x:v>
      </x:c>
      <x:c r="M8" s="11" t="n">
        <x:v>46295</x:v>
      </x:c>
      <x:c r="N8" s="11" t="n">
        <x:v>46387</x:v>
      </x:c>
      <x:c r="O8" s="11" t="n">
        <x:v>46477</x:v>
      </x:c>
      <x:c r="P8" s="11" t="n">
        <x:v>46568</x:v>
      </x:c>
      <x:c r="Q8" s="11" t="n">
        <x:v>46660</x:v>
      </x:c>
      <x:c r="R8" s="11" t="n">
        <x:v>46752</x:v>
      </x:c>
      <x:c r="S8" s="11" t="n">
        <x:v>46843</x:v>
      </x:c>
      <x:c r="T8" s="11" t="n">
        <x:v>46934</x:v>
      </x:c>
      <x:c r="U8" s="11" t="n">
        <x:v>47026</x:v>
      </x:c>
      <x:c r="V8" s="11" t="n">
        <x:v>47118</x:v>
      </x:c>
      <x:c r="W8" s="11" t="n">
        <x:v>47208</x:v>
      </x:c>
      <x:c r="X8" s="11" t="n">
        <x:v>47299</x:v>
      </x:c>
      <x:c r="Y8" s="11" t="n">
        <x:v>47391</x:v>
      </x:c>
      <x:c r="Z8" s="11" t="n">
        <x:v>47483</x:v>
      </x:c>
      <x:c r="AA8" s="11" t="n">
        <x:v>47573</x:v>
      </x:c>
      <x:c r="AB8" s="11" t="n">
        <x:v>47664</x:v>
      </x:c>
      <x:c r="AC8" s="11" t="n">
        <x:v>47756</x:v>
      </x:c>
      <x:c r="AD8" s="11" t="n">
        <x:v>47848</x:v>
      </x:c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Cash</x:v>
      </x:c>
      <x:c r="D10" s="2" t="n">
        <x:f>N10</x:f>
        <x:v>59.054</x:v>
      </x:c>
      <x:c r="E10" s="2" t="n">
        <x:f>R10</x:f>
        <x:v>59.054</x:v>
      </x:c>
      <x:c r="F10" s="2" t="n">
        <x:f>V10</x:f>
        <x:v>59.054</x:v>
      </x:c>
      <x:c r="G10" s="2" t="n">
        <x:f>Z10</x:f>
        <x:v>59.054</x:v>
      </x:c>
      <x:c r="H10" s="2" t="n">
        <x:f>AD10</x:f>
        <x:v>59.054</x:v>
      </x:c>
      <x:c r="I10" s="2"/>
      <x:c r="J10" s="2"/>
      <x:c r="K10" s="9" t="n">
        <x:f>'Debt Schedule'!K38</x:f>
        <x:v>59.053999999999995</x:v>
      </x:c>
      <x:c r="L10" s="9" t="n">
        <x:f>'Debt Schedule'!L38</x:f>
        <x:v>59.053999999999995</x:v>
      </x:c>
      <x:c r="M10" s="9" t="n">
        <x:f>'Debt Schedule'!M38</x:f>
        <x:v>59.053999999999995</x:v>
      </x:c>
      <x:c r="N10" s="9" t="n">
        <x:f>'Debt Schedule'!N38</x:f>
        <x:v>59.054</x:v>
      </x:c>
      <x:c r="O10" s="9" t="n">
        <x:f>'Debt Schedule'!O38</x:f>
        <x:v>59.053999999999995</x:v>
      </x:c>
      <x:c r="P10" s="9" t="n">
        <x:f>'Debt Schedule'!P38</x:f>
        <x:v>59.053999999999995</x:v>
      </x:c>
      <x:c r="Q10" s="9" t="n">
        <x:f>'Debt Schedule'!Q38</x:f>
        <x:v>59.053999999999995</x:v>
      </x:c>
      <x:c r="R10" s="9" t="n">
        <x:f>'Debt Schedule'!R38</x:f>
        <x:v>59.054</x:v>
      </x:c>
      <x:c r="S10" s="9" t="n">
        <x:f>'Debt Schedule'!S38</x:f>
        <x:v>59.053999999999995</x:v>
      </x:c>
      <x:c r="T10" s="9" t="n">
        <x:f>'Debt Schedule'!T38</x:f>
        <x:v>59.053999999999995</x:v>
      </x:c>
      <x:c r="U10" s="9" t="n">
        <x:f>'Debt Schedule'!U38</x:f>
        <x:v>59.053999999999995</x:v>
      </x:c>
      <x:c r="V10" s="9" t="n">
        <x:f>'Debt Schedule'!V38</x:f>
        <x:v>59.054</x:v>
      </x:c>
      <x:c r="W10" s="9" t="n">
        <x:f>'Debt Schedule'!W38</x:f>
        <x:v>59.053999999999995</x:v>
      </x:c>
      <x:c r="X10" s="9" t="n">
        <x:f>'Debt Schedule'!X38</x:f>
        <x:v>59.053999999999995</x:v>
      </x:c>
      <x:c r="Y10" s="9" t="n">
        <x:f>'Debt Schedule'!Y38</x:f>
        <x:v>59.053999999999995</x:v>
      </x:c>
      <x:c r="Z10" s="9" t="n">
        <x:f>'Debt Schedule'!Z38</x:f>
        <x:v>59.054</x:v>
      </x:c>
      <x:c r="AA10" s="9" t="n">
        <x:f>'Debt Schedule'!AA38</x:f>
        <x:v>59.053999999999995</x:v>
      </x:c>
      <x:c r="AB10" s="9" t="n">
        <x:f>'Debt Schedule'!AB38</x:f>
        <x:v>59.053999999999995</x:v>
      </x:c>
      <x:c r="AC10" s="9" t="n">
        <x:f>'Debt Schedule'!AC38</x:f>
        <x:v>59.053999999999995</x:v>
      </x:c>
      <x:c r="AD10" s="9" t="n">
        <x:f>'Debt Schedule'!AD38</x:f>
        <x:v>59.054</x:v>
      </x:c>
    </x:row>
    <x:row r="11" ht="20" customHeight="1">
      <x:c r="A11" s="2"/>
      <x:c r="B11" s="2"/>
      <x:c r="C11" s="2" t="str">
        <x:v>Trade receivables</x:v>
      </x:c>
      <x:c r="D11" s="2" t="n">
        <x:f>N11</x:f>
        <x:v>418.19503304347813</x:v>
      </x:c>
      <x:c r="E11" s="2" t="n">
        <x:f>R11</x:f>
        <x:v>427.1428695130434</x:v>
      </x:c>
      <x:c r="F11" s="2" t="n">
        <x:f>V11</x:f>
        <x:v>431.87522778610037</x:v>
      </x:c>
      <x:c r="G11" s="2" t="n">
        <x:f>Z11</x:f>
        <x:v>445.223274202293</x:v>
      </x:c>
      <x:c r="H11" s="2" t="n">
        <x:f>AD11</x:f>
        <x:v>458.9852127534125</x:v>
      </x:c>
      <x:c r="I11" s="2"/>
      <x:c r="J11" s="2"/>
      <x:c r="K11" s="9" t="n">
        <x:f>'Working Capital'!K10</x:f>
        <x:v>387.79312</x:v>
      </x:c>
      <x:c r="L11" s="9" t="n">
        <x:f>'Working Capital'!L10</x:f>
        <x:v>419.6274171428571</x:v>
      </x:c>
      <x:c r="M11" s="9" t="n">
        <x:f>'Working Capital'!M10</x:f>
        <x:v>476.2230991304348</x:v>
      </x:c>
      <x:c r="N11" s="9" t="n">
        <x:f>'Working Capital'!N10</x:f>
        <x:v>418.19503304347813</x:v>
      </x:c>
      <x:c r="O11" s="9" t="n">
        <x:f>'Working Capital'!O10</x:f>
        <x:v>396.60034127999995</x:v>
      </x:c>
      <x:c r="P11" s="9" t="n">
        <x:f>'Working Capital'!P10</x:f>
        <x:v>429.15073165714284</x:v>
      </x:c>
      <x:c r="Q11" s="9" t="n">
        <x:f>'Working Capital'!Q10</x:f>
        <x:v>486.6625702956522</x:v>
      </x:c>
      <x:c r="R11" s="9" t="n">
        <x:f>'Working Capital'!R10</x:f>
        <x:v>427.1428695130434</x:v>
      </x:c>
      <x:c r="S11" s="9" t="n">
        <x:f>'Working Capital'!S10</x:f>
        <x:v>396.8421914296206</x:v>
      </x:c>
      <x:c r="T11" s="9" t="n">
        <x:f>'Working Capital'!T10</x:f>
        <x:v>434.1802040733204</x:v>
      </x:c>
      <x:c r="U11" s="9" t="n">
        <x:f>'Working Capital'!U10</x:f>
        <x:v>492.18050304953215</x:v>
      </x:c>
      <x:c r="V11" s="9" t="n">
        <x:f>'Working Capital'!V10</x:f>
        <x:v>431.87522778610037</x:v>
      </x:c>
      <x:c r="W11" s="9" t="n">
        <x:f>'Working Capital'!W10</x:f>
        <x:v>413.91923559355826</x:v>
      </x:c>
      <x:c r="X11" s="9" t="n">
        <x:f>'Working Capital'!X10</x:f>
        <x:v>447.8838681385687</x:v>
      </x:c>
      <x:c r="Y11" s="9" t="n">
        <x:f>'Working Capital'!Y10</x:f>
        <x:v>507.52292928659625</x:v>
      </x:c>
      <x:c r="Z11" s="9" t="n">
        <x:f>'Working Capital'!Z10</x:f>
        <x:v>445.223274202293</x:v>
      </x:c>
      <x:c r="AA11" s="9" t="n">
        <x:f>'Working Capital'!AA10</x:f>
        <x:v>426.9888973130288</x:v>
      </x:c>
      <x:c r="AB11" s="9" t="n">
        <x:f>'Working Capital'!AB10</x:f>
        <x:v>462.0222600517363</x:v>
      </x:c>
      <x:c r="AC11" s="9" t="n">
        <x:f>'Working Capital'!AC10</x:f>
        <x:v>523.3455904951071</x:v>
      </x:c>
      <x:c r="AD11" s="9" t="n">
        <x:f>'Working Capital'!AD10</x:f>
        <x:v>458.9852127534125</x:v>
      </x:c>
    </x:row>
    <x:row r="12" ht="20" customHeight="1">
      <x:c r="A12" s="2"/>
      <x:c r="B12" s="2"/>
      <x:c r="C12" s="2" t="str">
        <x:v>Inventory</x:v>
      </x:c>
      <x:c r="D12" s="2" t="n">
        <x:f>N12</x:f>
        <x:v>804.731909598904</x:v>
      </x:c>
      <x:c r="E12" s="2" t="n">
        <x:f>R12</x:f>
        <x:v>812.7148498232547</x:v>
      </x:c>
      <x:c r="F12" s="2" t="n">
        <x:f>V12</x:f>
        <x:v>820.9631219150286</x:v>
      </x:c>
      <x:c r="G12" s="2" t="n">
        <x:f>Z12</x:f>
        <x:v>829.1126289160717</x:v>
      </x:c>
      <x:c r="H12" s="2" t="n">
        <x:f>AD12</x:f>
        <x:v>847.7514482047702</x:v>
      </x:c>
      <x:c r="I12" s="2"/>
      <x:c r="J12" s="2"/>
      <x:c r="K12" s="9" t="n">
        <x:f>'Working Capital'!K11</x:f>
        <x:v>804.731909598904</x:v>
      </x:c>
      <x:c r="L12" s="9" t="n">
        <x:f>'Working Capital'!L11</x:f>
        <x:v>804.731909598904</x:v>
      </x:c>
      <x:c r="M12" s="9" t="n">
        <x:f>'Working Capital'!M11</x:f>
        <x:v>804.731909598904</x:v>
      </x:c>
      <x:c r="N12" s="9" t="n">
        <x:f>'Working Capital'!N11</x:f>
        <x:v>804.731909598904</x:v>
      </x:c>
      <x:c r="O12" s="9" t="n">
        <x:f>'Working Capital'!O11</x:f>
        <x:v>812.7148498232547</x:v>
      </x:c>
      <x:c r="P12" s="9" t="n">
        <x:f>'Working Capital'!P11</x:f>
        <x:v>812.7148498232547</x:v>
      </x:c>
      <x:c r="Q12" s="9" t="n">
        <x:f>'Working Capital'!Q11</x:f>
        <x:v>812.7148498232547</x:v>
      </x:c>
      <x:c r="R12" s="9" t="n">
        <x:f>'Working Capital'!R11</x:f>
        <x:v>812.7148498232547</x:v>
      </x:c>
      <x:c r="S12" s="9" t="n">
        <x:f>'Working Capital'!S11</x:f>
        <x:v>820.9631219150286</x:v>
      </x:c>
      <x:c r="T12" s="9" t="n">
        <x:f>'Working Capital'!T11</x:f>
        <x:v>820.9631219150286</x:v>
      </x:c>
      <x:c r="U12" s="9" t="n">
        <x:f>'Working Capital'!U11</x:f>
        <x:v>820.9631219150286</x:v>
      </x:c>
      <x:c r="V12" s="9" t="n">
        <x:f>'Working Capital'!V11</x:f>
        <x:v>820.9631219150286</x:v>
      </x:c>
      <x:c r="W12" s="9" t="n">
        <x:f>'Working Capital'!W11</x:f>
        <x:v>829.1126289160717</x:v>
      </x:c>
      <x:c r="X12" s="9" t="n">
        <x:f>'Working Capital'!X11</x:f>
        <x:v>829.1126289160717</x:v>
      </x:c>
      <x:c r="Y12" s="9" t="n">
        <x:f>'Working Capital'!Y11</x:f>
        <x:v>829.1126289160717</x:v>
      </x:c>
      <x:c r="Z12" s="9" t="n">
        <x:f>'Working Capital'!Z11</x:f>
        <x:v>829.1126289160717</x:v>
      </x:c>
      <x:c r="AA12" s="9" t="n">
        <x:f>'Working Capital'!AA11</x:f>
        <x:v>847.7514482047702</x:v>
      </x:c>
      <x:c r="AB12" s="9" t="n">
        <x:f>'Working Capital'!AB11</x:f>
        <x:v>847.7514482047702</x:v>
      </x:c>
      <x:c r="AC12" s="9" t="n">
        <x:f>'Working Capital'!AC11</x:f>
        <x:v>847.7514482047702</x:v>
      </x:c>
      <x:c r="AD12" s="9" t="n">
        <x:f>'Working Capital'!AD11</x:f>
        <x:v>847.7514482047702</x:v>
      </x:c>
    </x:row>
    <x:row r="13" ht="20" customHeight="1">
      <x:c r="A13" s="2"/>
      <x:c r="B13" s="2"/>
      <x:c r="C13" s="2" t="str">
        <x:v>Other current assets</x:v>
      </x:c>
      <x:c r="D13" s="2" t="n">
        <x:f>N13</x:f>
        <x:v>257.5</x:v>
      </x:c>
      <x:c r="E13" s="2" t="n">
        <x:f>R13</x:f>
        <x:v>257.5</x:v>
      </x:c>
      <x:c r="F13" s="2" t="n">
        <x:f>V13</x:f>
        <x:v>257.5</x:v>
      </x:c>
      <x:c r="G13" s="2" t="n">
        <x:f>Z13</x:f>
        <x:v>257.5</x:v>
      </x:c>
      <x:c r="H13" s="2" t="n">
        <x:f>AD13</x:f>
        <x:v>257.5</x:v>
      </x:c>
      <x:c r="I13" s="2"/>
      <x:c r="J13" s="2"/>
      <x:c r="K13" s="9" t="n">
        <x:f>'Historical &amp; Sources'!F27</x:f>
        <x:v>257.5</x:v>
      </x:c>
      <x:c r="L13" s="9" t="n">
        <x:f>'Historical &amp; Sources'!F27</x:f>
        <x:v>257.5</x:v>
      </x:c>
      <x:c r="M13" s="9" t="n">
        <x:f>'Historical &amp; Sources'!F27</x:f>
        <x:v>257.5</x:v>
      </x:c>
      <x:c r="N13" s="9" t="n">
        <x:f>'Historical &amp; Sources'!F27</x:f>
        <x:v>257.5</x:v>
      </x:c>
      <x:c r="O13" s="9" t="n">
        <x:f>'Historical &amp; Sources'!F27</x:f>
        <x:v>257.5</x:v>
      </x:c>
      <x:c r="P13" s="9" t="n">
        <x:f>'Historical &amp; Sources'!F27</x:f>
        <x:v>257.5</x:v>
      </x:c>
      <x:c r="Q13" s="9" t="n">
        <x:f>'Historical &amp; Sources'!F27</x:f>
        <x:v>257.5</x:v>
      </x:c>
      <x:c r="R13" s="9" t="n">
        <x:f>'Historical &amp; Sources'!F27</x:f>
        <x:v>257.5</x:v>
      </x:c>
      <x:c r="S13" s="9" t="n">
        <x:f>'Historical &amp; Sources'!F27</x:f>
        <x:v>257.5</x:v>
      </x:c>
      <x:c r="T13" s="9" t="n">
        <x:f>'Historical &amp; Sources'!F27</x:f>
        <x:v>257.5</x:v>
      </x:c>
      <x:c r="U13" s="9" t="n">
        <x:f>'Historical &amp; Sources'!F27</x:f>
        <x:v>257.5</x:v>
      </x:c>
      <x:c r="V13" s="9" t="n">
        <x:f>'Historical &amp; Sources'!F27</x:f>
        <x:v>257.5</x:v>
      </x:c>
      <x:c r="W13" s="9" t="n">
        <x:f>'Historical &amp; Sources'!F27</x:f>
        <x:v>257.5</x:v>
      </x:c>
      <x:c r="X13" s="9" t="n">
        <x:f>'Historical &amp; Sources'!F27</x:f>
        <x:v>257.5</x:v>
      </x:c>
      <x:c r="Y13" s="9" t="n">
        <x:f>'Historical &amp; Sources'!F27</x:f>
        <x:v>257.5</x:v>
      </x:c>
      <x:c r="Z13" s="9" t="n">
        <x:f>'Historical &amp; Sources'!F27</x:f>
        <x:v>257.5</x:v>
      </x:c>
      <x:c r="AA13" s="9" t="n">
        <x:f>'Historical &amp; Sources'!F27</x:f>
        <x:v>257.5</x:v>
      </x:c>
      <x:c r="AB13" s="9" t="n">
        <x:f>'Historical &amp; Sources'!F27</x:f>
        <x:v>257.5</x:v>
      </x:c>
      <x:c r="AC13" s="9" t="n">
        <x:f>'Historical &amp; Sources'!F27</x:f>
        <x:v>257.5</x:v>
      </x:c>
      <x:c r="AD13" s="9" t="n">
        <x:f>'Historical &amp; Sources'!F27</x:f>
        <x:v>257.5</x:v>
      </x:c>
    </x:row>
    <x:row r="14" ht="20" customHeight="1">
      <x:c r="A14" s="2"/>
      <x:c r="B14" s="2"/>
      <x:c r="C14" s="2" t="str">
        <x:v>Net PP&amp;E</x:v>
      </x:c>
      <x:c r="D14" s="2" t="n">
        <x:f>N14</x:f>
        <x:v>476.0626284808635</x:v>
      </x:c>
      <x:c r="E14" s="2" t="n">
        <x:f>R14</x:f>
        <x:v>488.43618753808073</x:v>
      </x:c>
      <x:c r="F14" s="2" t="n">
        <x:f>V14</x:f>
        <x:v>490.74701263755685</x:v>
      </x:c>
      <x:c r="G14" s="2" t="n">
        <x:f>Z14</x:f>
        <x:v>480.9973796294078</x:v>
      </x:c>
      <x:c r="H14" s="2" t="n">
        <x:f>AD14</x:f>
        <x:v>466.7343814349262</x:v>
      </x:c>
      <x:c r="I14" s="2"/>
      <x:c r="J14" s="2"/>
      <x:c r="K14" s="9" t="n">
        <x:f>'Capex &amp; DA'!K32</x:f>
        <x:v>453.63051191666665</x:v>
      </x:c>
      <x:c r="L14" s="9" t="n">
        <x:f>'Capex &amp; DA'!L32</x:f>
        <x:v>460.5925355708333</x:v>
      </x:c>
      <x:c r="M14" s="9" t="n">
        <x:f>'Capex &amp; DA'!M32</x:f>
        <x:v>470.5613271582032</x:v>
      </x:c>
      <x:c r="N14" s="9" t="n">
        <x:f>'Capex &amp; DA'!N32</x:f>
        <x:v>476.0626284808635</x:v>
      </x:c>
      <x:c r="O14" s="9" t="n">
        <x:f>'Capex &amp; DA'!O32</x:f>
        <x:v>477.58538284038656</x:v>
      </x:c>
      <x:c r="P14" s="9" t="n">
        <x:f>'Capex &amp; DA'!P32</x:f>
        <x:v>480.6293357209703</x:v>
      </x:c>
      <x:c r="Q14" s="9" t="n">
        <x:f>'Capex &amp; DA'!Q32</x:f>
        <x:v>486.6456281820317</x:v>
      </x:c>
      <x:c r="R14" s="9" t="n">
        <x:f>'Capex &amp; DA'!R32</x:f>
        <x:v>488.43618753808073</x:v>
      </x:c>
      <x:c r="S14" s="9" t="n">
        <x:f>'Capex &amp; DA'!S32</x:f>
        <x:v>487.3284416445364</x:v>
      </x:c>
      <x:c r="T14" s="9" t="n">
        <x:f>'Capex &amp; DA'!T32</x:f>
        <x:v>487.82455099272687</x:v>
      </x:c>
      <x:c r="U14" s="9" t="n">
        <x:f>'Capex &amp; DA'!U32</x:f>
        <x:v>491.3629902808159</x:v>
      </x:c>
      <x:c r="V14" s="9" t="n">
        <x:f>'Capex &amp; DA'!V32</x:f>
        <x:v>490.74701263755685</x:v>
      </x:c>
      <x:c r="W14" s="9" t="n">
        <x:f>'Capex &amp; DA'!W32</x:f>
        <x:v>486.57075723667947</x:v>
      </x:c>
      <x:c r="X14" s="9" t="n">
        <x:f>'Capex &amp; DA'!X32</x:f>
        <x:v>484.0239093937044</x:v>
      </x:c>
      <x:c r="Y14" s="9" t="n">
        <x:f>'Capex &amp; DA'!Y32</x:f>
        <x:v>484.4849481792518</x:v>
      </x:c>
      <x:c r="Z14" s="9" t="n">
        <x:f>'Capex &amp; DA'!Z32</x:f>
        <x:v>480.9973796294078</x:v>
      </x:c>
      <x:c r="AA14" s="9" t="n">
        <x:f>'Capex &amp; DA'!AA32</x:f>
        <x:v>475.5669670171198</x:v>
      </x:c>
      <x:c r="AB14" s="9" t="n">
        <x:f>'Capex &amp; DA'!AB32</x:f>
        <x:v>471.8700509105</x:v>
      </x:c>
      <x:c r="AC14" s="9" t="n">
        <x:f>'Capex &amp; DA'!AC32</x:f>
        <x:v>471.31642645804436</x:v>
      </x:c>
      <x:c r="AD14" s="9" t="n">
        <x:f>'Capex &amp; DA'!AD32</x:f>
        <x:v>466.7343814349262</x:v>
      </x:c>
    </x:row>
    <x:row r="15" ht="20" customHeight="1">
      <x:c r="A15" s="2"/>
      <x:c r="B15" s="2"/>
      <x:c r="C15" s="2" t="str">
        <x:v>Operating lease assets</x:v>
      </x:c>
      <x:c r="D15" s="2" t="n">
        <x:f>N15</x:f>
        <x:v>93.2</x:v>
      </x:c>
      <x:c r="E15" s="2" t="n">
        <x:f>R15</x:f>
        <x:v>93.2</x:v>
      </x:c>
      <x:c r="F15" s="2" t="n">
        <x:f>V15</x:f>
        <x:v>93.2</x:v>
      </x:c>
      <x:c r="G15" s="2" t="n">
        <x:f>Z15</x:f>
        <x:v>93.2</x:v>
      </x:c>
      <x:c r="H15" s="2" t="n">
        <x:f>AD15</x:f>
        <x:v>93.2</x:v>
      </x:c>
      <x:c r="I15" s="2"/>
      <x:c r="J15" s="2"/>
      <x:c r="K15" s="9" t="n">
        <x:f>'Historical &amp; Sources'!F30</x:f>
        <x:v>93.2</x:v>
      </x:c>
      <x:c r="L15" s="9" t="n">
        <x:f>'Historical &amp; Sources'!F30</x:f>
        <x:v>93.2</x:v>
      </x:c>
      <x:c r="M15" s="9" t="n">
        <x:f>'Historical &amp; Sources'!F30</x:f>
        <x:v>93.2</x:v>
      </x:c>
      <x:c r="N15" s="9" t="n">
        <x:f>'Historical &amp; Sources'!F30</x:f>
        <x:v>93.2</x:v>
      </x:c>
      <x:c r="O15" s="9" t="n">
        <x:f>'Historical &amp; Sources'!F30</x:f>
        <x:v>93.2</x:v>
      </x:c>
      <x:c r="P15" s="9" t="n">
        <x:f>'Historical &amp; Sources'!F30</x:f>
        <x:v>93.2</x:v>
      </x:c>
      <x:c r="Q15" s="9" t="n">
        <x:f>'Historical &amp; Sources'!F30</x:f>
        <x:v>93.2</x:v>
      </x:c>
      <x:c r="R15" s="9" t="n">
        <x:f>'Historical &amp; Sources'!F30</x:f>
        <x:v>93.2</x:v>
      </x:c>
      <x:c r="S15" s="9" t="n">
        <x:f>'Historical &amp; Sources'!F30</x:f>
        <x:v>93.2</x:v>
      </x:c>
      <x:c r="T15" s="9" t="n">
        <x:f>'Historical &amp; Sources'!F30</x:f>
        <x:v>93.2</x:v>
      </x:c>
      <x:c r="U15" s="9" t="n">
        <x:f>'Historical &amp; Sources'!F30</x:f>
        <x:v>93.2</x:v>
      </x:c>
      <x:c r="V15" s="9" t="n">
        <x:f>'Historical &amp; Sources'!F30</x:f>
        <x:v>93.2</x:v>
      </x:c>
      <x:c r="W15" s="9" t="n">
        <x:f>'Historical &amp; Sources'!F30</x:f>
        <x:v>93.2</x:v>
      </x:c>
      <x:c r="X15" s="9" t="n">
        <x:f>'Historical &amp; Sources'!F30</x:f>
        <x:v>93.2</x:v>
      </x:c>
      <x:c r="Y15" s="9" t="n">
        <x:f>'Historical &amp; Sources'!F30</x:f>
        <x:v>93.2</x:v>
      </x:c>
      <x:c r="Z15" s="9" t="n">
        <x:f>'Historical &amp; Sources'!F30</x:f>
        <x:v>93.2</x:v>
      </x:c>
      <x:c r="AA15" s="9" t="n">
        <x:f>'Historical &amp; Sources'!F30</x:f>
        <x:v>93.2</x:v>
      </x:c>
      <x:c r="AB15" s="9" t="n">
        <x:f>'Historical &amp; Sources'!F30</x:f>
        <x:v>93.2</x:v>
      </x:c>
      <x:c r="AC15" s="9" t="n">
        <x:f>'Historical &amp; Sources'!F30</x:f>
        <x:v>93.2</x:v>
      </x:c>
      <x:c r="AD15" s="9" t="n">
        <x:f>'Historical &amp; Sources'!F30</x:f>
        <x:v>93.2</x:v>
      </x:c>
    </x:row>
    <x:row r="16" ht="20" customHeight="1">
      <x:c r="A16" s="2"/>
      <x:c r="B16" s="2"/>
      <x:c r="C16" s="2" t="str">
        <x:v>Goodwill</x:v>
      </x:c>
      <x:c r="D16" s="2" t="n">
        <x:f>N16</x:f>
        <x:v>2132.5297500000015</x:v>
      </x:c>
      <x:c r="E16" s="2" t="n">
        <x:f>R16</x:f>
        <x:v>2132.5297500000015</x:v>
      </x:c>
      <x:c r="F16" s="2" t="n">
        <x:f>V16</x:f>
        <x:v>2132.5297500000015</x:v>
      </x:c>
      <x:c r="G16" s="2" t="n">
        <x:f>Z16</x:f>
        <x:v>2132.5297500000015</x:v>
      </x:c>
      <x:c r="H16" s="2" t="n">
        <x:f>AD16</x:f>
        <x:v>2132.5297500000015</x:v>
      </x:c>
      <x:c r="I16" s="2"/>
      <x:c r="J16" s="2"/>
      <x:c r="K16" s="9" t="n">
        <x:f>'Purchase Accounting'!D12</x:f>
        <x:v>2132.5297500000015</x:v>
      </x:c>
      <x:c r="L16" s="9" t="n">
        <x:f>'Purchase Accounting'!D12</x:f>
        <x:v>2132.5297500000015</x:v>
      </x:c>
      <x:c r="M16" s="9" t="n">
        <x:f>'Purchase Accounting'!D12</x:f>
        <x:v>2132.5297500000015</x:v>
      </x:c>
      <x:c r="N16" s="9" t="n">
        <x:f>'Purchase Accounting'!D12</x:f>
        <x:v>2132.5297500000015</x:v>
      </x:c>
      <x:c r="O16" s="9" t="n">
        <x:f>'Purchase Accounting'!D12</x:f>
        <x:v>2132.5297500000015</x:v>
      </x:c>
      <x:c r="P16" s="9" t="n">
        <x:f>'Purchase Accounting'!D12</x:f>
        <x:v>2132.5297500000015</x:v>
      </x:c>
      <x:c r="Q16" s="9" t="n">
        <x:f>'Purchase Accounting'!D12</x:f>
        <x:v>2132.5297500000015</x:v>
      </x:c>
      <x:c r="R16" s="9" t="n">
        <x:f>'Purchase Accounting'!D12</x:f>
        <x:v>2132.5297500000015</x:v>
      </x:c>
      <x:c r="S16" s="9" t="n">
        <x:f>'Purchase Accounting'!D12</x:f>
        <x:v>2132.5297500000015</x:v>
      </x:c>
      <x:c r="T16" s="9" t="n">
        <x:f>'Purchase Accounting'!D12</x:f>
        <x:v>2132.5297500000015</x:v>
      </x:c>
      <x:c r="U16" s="9" t="n">
        <x:f>'Purchase Accounting'!D12</x:f>
        <x:v>2132.5297500000015</x:v>
      </x:c>
      <x:c r="V16" s="9" t="n">
        <x:f>'Purchase Accounting'!D12</x:f>
        <x:v>2132.5297500000015</x:v>
      </x:c>
      <x:c r="W16" s="9" t="n">
        <x:f>'Purchase Accounting'!D12</x:f>
        <x:v>2132.5297500000015</x:v>
      </x:c>
      <x:c r="X16" s="9" t="n">
        <x:f>'Purchase Accounting'!D12</x:f>
        <x:v>2132.5297500000015</x:v>
      </x:c>
      <x:c r="Y16" s="9" t="n">
        <x:f>'Purchase Accounting'!D12</x:f>
        <x:v>2132.5297500000015</x:v>
      </x:c>
      <x:c r="Z16" s="9" t="n">
        <x:f>'Purchase Accounting'!D12</x:f>
        <x:v>2132.5297500000015</x:v>
      </x:c>
      <x:c r="AA16" s="9" t="n">
        <x:f>'Purchase Accounting'!D12</x:f>
        <x:v>2132.5297500000015</x:v>
      </x:c>
      <x:c r="AB16" s="9" t="n">
        <x:f>'Purchase Accounting'!D12</x:f>
        <x:v>2132.5297500000015</x:v>
      </x:c>
      <x:c r="AC16" s="9" t="n">
        <x:f>'Purchase Accounting'!D12</x:f>
        <x:v>2132.5297500000015</x:v>
      </x:c>
      <x:c r="AD16" s="9" t="n">
        <x:f>'Purchase Accounting'!D12</x:f>
        <x:v>2132.5297500000015</x:v>
      </x:c>
    </x:row>
    <x:row r="17" ht="20" customHeight="1">
      <x:c r="A17" s="2"/>
      <x:c r="B17" s="2"/>
      <x:c r="C17" s="2" t="str">
        <x:v>Net intangible assets</x:v>
      </x:c>
      <x:c r="D17" s="2" t="n">
        <x:f>N17</x:f>
        <x:v>1299.2250000000001</x:v>
      </x:c>
      <x:c r="E17" s="2" t="n">
        <x:f>R17</x:f>
        <x:v>1207.6250000000002</x:v>
      </x:c>
      <x:c r="F17" s="2" t="n">
        <x:f>V17</x:f>
        <x:v>1116.0250000000003</x:v>
      </x:c>
      <x:c r="G17" s="2" t="n">
        <x:f>Z17</x:f>
        <x:v>1024.4250000000004</x:v>
      </x:c>
      <x:c r="H17" s="2" t="n">
        <x:f>AD17</x:f>
        <x:v>932.8250000000005</x:v>
      </x:c>
      <x:c r="I17" s="2"/>
      <x:c r="J17" s="2"/>
      <x:c r="K17" s="9" t="n">
        <x:f>'Capex &amp; DA'!K33</x:f>
        <x:v>1367.9250000000002</x:v>
      </x:c>
      <x:c r="L17" s="9" t="n">
        <x:f>'Capex &amp; DA'!L33</x:f>
        <x:v>1345.025</x:v>
      </x:c>
      <x:c r="M17" s="9" t="n">
        <x:f>'Capex &amp; DA'!M33</x:f>
        <x:v>1322.125</x:v>
      </x:c>
      <x:c r="N17" s="9" t="n">
        <x:f>'Capex &amp; DA'!N33</x:f>
        <x:v>1299.2250000000001</x:v>
      </x:c>
      <x:c r="O17" s="9" t="n">
        <x:f>'Capex &amp; DA'!O33</x:f>
        <x:v>1276.3250000000003</x:v>
      </x:c>
      <x:c r="P17" s="9" t="n">
        <x:f>'Capex &amp; DA'!P33</x:f>
        <x:v>1253.4250000000002</x:v>
      </x:c>
      <x:c r="Q17" s="9" t="n">
        <x:f>'Capex &amp; DA'!Q33</x:f>
        <x:v>1230.525</x:v>
      </x:c>
      <x:c r="R17" s="9" t="n">
        <x:f>'Capex &amp; DA'!R33</x:f>
        <x:v>1207.6250000000002</x:v>
      </x:c>
      <x:c r="S17" s="9" t="n">
        <x:f>'Capex &amp; DA'!S33</x:f>
        <x:v>1184.7250000000004</x:v>
      </x:c>
      <x:c r="T17" s="9" t="n">
        <x:f>'Capex &amp; DA'!T33</x:f>
        <x:v>1161.8250000000003</x:v>
      </x:c>
      <x:c r="U17" s="9" t="n">
        <x:f>'Capex &amp; DA'!U33</x:f>
        <x:v>1138.9250000000002</x:v>
      </x:c>
      <x:c r="V17" s="9" t="n">
        <x:f>'Capex &amp; DA'!V33</x:f>
        <x:v>1116.0250000000003</x:v>
      </x:c>
      <x:c r="W17" s="9" t="n">
        <x:f>'Capex &amp; DA'!W33</x:f>
        <x:v>1093.1250000000005</x:v>
      </x:c>
      <x:c r="X17" s="9" t="n">
        <x:f>'Capex &amp; DA'!X33</x:f>
        <x:v>1070.2250000000004</x:v>
      </x:c>
      <x:c r="Y17" s="9" t="n">
        <x:f>'Capex &amp; DA'!Y33</x:f>
        <x:v>1047.3250000000003</x:v>
      </x:c>
      <x:c r="Z17" s="9" t="n">
        <x:f>'Capex &amp; DA'!Z33</x:f>
        <x:v>1024.4250000000004</x:v>
      </x:c>
      <x:c r="AA17" s="9" t="n">
        <x:f>'Capex &amp; DA'!AA33</x:f>
        <x:v>1001.5250000000004</x:v>
      </x:c>
      <x:c r="AB17" s="9" t="n">
        <x:f>'Capex &amp; DA'!AB33</x:f>
        <x:v>978.6250000000005</x:v>
      </x:c>
      <x:c r="AC17" s="9" t="n">
        <x:f>'Capex &amp; DA'!AC33</x:f>
        <x:v>955.7250000000005</x:v>
      </x:c>
      <x:c r="AD17" s="9" t="n">
        <x:f>'Capex &amp; DA'!AD33</x:f>
        <x:v>932.8250000000005</x:v>
      </x:c>
    </x:row>
    <x:row r="18" ht="20" customHeight="1">
      <x:c r="A18" s="2"/>
      <x:c r="B18" s="2"/>
      <x:c r="C18" s="2" t="str">
        <x:v>Deferred tax assets</x:v>
      </x:c>
      <x:c r="D18" s="2" t="n">
        <x:f>N18</x:f>
        <x:v>166.6</x:v>
      </x:c>
      <x:c r="E18" s="2" t="n">
        <x:f>R18</x:f>
        <x:v>166.6</x:v>
      </x:c>
      <x:c r="F18" s="2" t="n">
        <x:f>V18</x:f>
        <x:v>166.6</x:v>
      </x:c>
      <x:c r="G18" s="2" t="n">
        <x:f>Z18</x:f>
        <x:v>166.6</x:v>
      </x:c>
      <x:c r="H18" s="2" t="n">
        <x:f>AD18</x:f>
        <x:v>166.6</x:v>
      </x:c>
      <x:c r="I18" s="2"/>
      <x:c r="J18" s="2"/>
      <x:c r="K18" s="9" t="n">
        <x:f>'Historical &amp; Sources'!F33</x:f>
        <x:v>166.6</x:v>
      </x:c>
      <x:c r="L18" s="9" t="n">
        <x:f>'Historical &amp; Sources'!F33</x:f>
        <x:v>166.6</x:v>
      </x:c>
      <x:c r="M18" s="9" t="n">
        <x:f>'Historical &amp; Sources'!F33</x:f>
        <x:v>166.6</x:v>
      </x:c>
      <x:c r="N18" s="9" t="n">
        <x:f>'Historical &amp; Sources'!F33</x:f>
        <x:v>166.6</x:v>
      </x:c>
      <x:c r="O18" s="9" t="n">
        <x:f>'Historical &amp; Sources'!F33</x:f>
        <x:v>166.6</x:v>
      </x:c>
      <x:c r="P18" s="9" t="n">
        <x:f>'Historical &amp; Sources'!F33</x:f>
        <x:v>166.6</x:v>
      </x:c>
      <x:c r="Q18" s="9" t="n">
        <x:f>'Historical &amp; Sources'!F33</x:f>
        <x:v>166.6</x:v>
      </x:c>
      <x:c r="R18" s="9" t="n">
        <x:f>'Historical &amp; Sources'!F33</x:f>
        <x:v>166.6</x:v>
      </x:c>
      <x:c r="S18" s="9" t="n">
        <x:f>'Historical &amp; Sources'!F33</x:f>
        <x:v>166.6</x:v>
      </x:c>
      <x:c r="T18" s="9" t="n">
        <x:f>'Historical &amp; Sources'!F33</x:f>
        <x:v>166.6</x:v>
      </x:c>
      <x:c r="U18" s="9" t="n">
        <x:f>'Historical &amp; Sources'!F33</x:f>
        <x:v>166.6</x:v>
      </x:c>
      <x:c r="V18" s="9" t="n">
        <x:f>'Historical &amp; Sources'!F33</x:f>
        <x:v>166.6</x:v>
      </x:c>
      <x:c r="W18" s="9" t="n">
        <x:f>'Historical &amp; Sources'!F33</x:f>
        <x:v>166.6</x:v>
      </x:c>
      <x:c r="X18" s="9" t="n">
        <x:f>'Historical &amp; Sources'!F33</x:f>
        <x:v>166.6</x:v>
      </x:c>
      <x:c r="Y18" s="9" t="n">
        <x:f>'Historical &amp; Sources'!F33</x:f>
        <x:v>166.6</x:v>
      </x:c>
      <x:c r="Z18" s="9" t="n">
        <x:f>'Historical &amp; Sources'!F33</x:f>
        <x:v>166.6</x:v>
      </x:c>
      <x:c r="AA18" s="9" t="n">
        <x:f>'Historical &amp; Sources'!F33</x:f>
        <x:v>166.6</x:v>
      </x:c>
      <x:c r="AB18" s="9" t="n">
        <x:f>'Historical &amp; Sources'!F33</x:f>
        <x:v>166.6</x:v>
      </x:c>
      <x:c r="AC18" s="9" t="n">
        <x:f>'Historical &amp; Sources'!F33</x:f>
        <x:v>166.6</x:v>
      </x:c>
      <x:c r="AD18" s="9" t="n">
        <x:f>'Historical &amp; Sources'!F33</x:f>
        <x:v>166.6</x:v>
      </x:c>
    </x:row>
    <x:row r="19" ht="20" customHeight="1">
      <x:c r="A19" s="2"/>
      <x:c r="B19" s="2"/>
      <x:c r="C19" s="2" t="str">
        <x:v>Other assets</x:v>
      </x:c>
      <x:c r="D19" s="2" t="n">
        <x:f>N19</x:f>
        <x:v>158.1</x:v>
      </x:c>
      <x:c r="E19" s="2" t="n">
        <x:f>R19</x:f>
        <x:v>158.1</x:v>
      </x:c>
      <x:c r="F19" s="2" t="n">
        <x:f>V19</x:f>
        <x:v>158.1</x:v>
      </x:c>
      <x:c r="G19" s="2" t="n">
        <x:f>Z19</x:f>
        <x:v>158.1</x:v>
      </x:c>
      <x:c r="H19" s="2" t="n">
        <x:f>AD19</x:f>
        <x:v>158.1</x:v>
      </x:c>
      <x:c r="I19" s="2"/>
      <x:c r="J19" s="2"/>
      <x:c r="K19" s="9" t="n">
        <x:f>'Historical &amp; Sources'!F34</x:f>
        <x:v>158.1</x:v>
      </x:c>
      <x:c r="L19" s="9" t="n">
        <x:f>'Historical &amp; Sources'!F34</x:f>
        <x:v>158.1</x:v>
      </x:c>
      <x:c r="M19" s="9" t="n">
        <x:f>'Historical &amp; Sources'!F34</x:f>
        <x:v>158.1</x:v>
      </x:c>
      <x:c r="N19" s="9" t="n">
        <x:f>'Historical &amp; Sources'!F34</x:f>
        <x:v>158.1</x:v>
      </x:c>
      <x:c r="O19" s="9" t="n">
        <x:f>'Historical &amp; Sources'!F34</x:f>
        <x:v>158.1</x:v>
      </x:c>
      <x:c r="P19" s="9" t="n">
        <x:f>'Historical &amp; Sources'!F34</x:f>
        <x:v>158.1</x:v>
      </x:c>
      <x:c r="Q19" s="9" t="n">
        <x:f>'Historical &amp; Sources'!F34</x:f>
        <x:v>158.1</x:v>
      </x:c>
      <x:c r="R19" s="9" t="n">
        <x:f>'Historical &amp; Sources'!F34</x:f>
        <x:v>158.1</x:v>
      </x:c>
      <x:c r="S19" s="9" t="n">
        <x:f>'Historical &amp; Sources'!F34</x:f>
        <x:v>158.1</x:v>
      </x:c>
      <x:c r="T19" s="9" t="n">
        <x:f>'Historical &amp; Sources'!F34</x:f>
        <x:v>158.1</x:v>
      </x:c>
      <x:c r="U19" s="9" t="n">
        <x:f>'Historical &amp; Sources'!F34</x:f>
        <x:v>158.1</x:v>
      </x:c>
      <x:c r="V19" s="9" t="n">
        <x:f>'Historical &amp; Sources'!F34</x:f>
        <x:v>158.1</x:v>
      </x:c>
      <x:c r="W19" s="9" t="n">
        <x:f>'Historical &amp; Sources'!F34</x:f>
        <x:v>158.1</x:v>
      </x:c>
      <x:c r="X19" s="9" t="n">
        <x:f>'Historical &amp; Sources'!F34</x:f>
        <x:v>158.1</x:v>
      </x:c>
      <x:c r="Y19" s="9" t="n">
        <x:f>'Historical &amp; Sources'!F34</x:f>
        <x:v>158.1</x:v>
      </x:c>
      <x:c r="Z19" s="9" t="n">
        <x:f>'Historical &amp; Sources'!F34</x:f>
        <x:v>158.1</x:v>
      </x:c>
      <x:c r="AA19" s="9" t="n">
        <x:f>'Historical &amp; Sources'!F34</x:f>
        <x:v>158.1</x:v>
      </x:c>
      <x:c r="AB19" s="9" t="n">
        <x:f>'Historical &amp; Sources'!F34</x:f>
        <x:v>158.1</x:v>
      </x:c>
      <x:c r="AC19" s="9" t="n">
        <x:f>'Historical &amp; Sources'!F34</x:f>
        <x:v>158.1</x:v>
      </x:c>
      <x:c r="AD19" s="9" t="n">
        <x:f>'Historical &amp; Sources'!F34</x:f>
        <x:v>158.1</x:v>
      </x:c>
    </x:row>
    <x:row r="20" ht="20" customHeight="1">
      <x:c r="A20" s="2"/>
      <x:c r="B20" s="2"/>
      <x:c r="C20" s="2" t="str">
        <x:v>Revolver fee asset</x:v>
      </x:c>
      <x:c r="D20" s="2" t="n">
        <x:f>N20</x:f>
        <x:v>3.2040000000000006</x:v>
      </x:c>
      <x:c r="E20" s="2" t="n">
        <x:f>R20</x:f>
        <x:v>2.4030000000000005</x:v>
      </x:c>
      <x:c r="F20" s="2" t="n">
        <x:f>V20</x:f>
        <x:v>1.6020000000000003</x:v>
      </x:c>
      <x:c r="G20" s="2" t="n">
        <x:f>Z20</x:f>
        <x:v>0.8010000000000002</x:v>
      </x:c>
      <x:c r="H20" s="2" t="n">
        <x:f>AD20</x:f>
        <x:v>0</x:v>
      </x:c>
      <x:c r="I20" s="2"/>
      <x:c r="J20" s="2"/>
      <x:c r="K20" s="9" t="n">
        <x:f>'Debt Schedule'!K51</x:f>
        <x:v>3.8047500000000007</x:v>
      </x:c>
      <x:c r="L20" s="9" t="n">
        <x:f>'Debt Schedule'!L51</x:f>
        <x:v>3.6045000000000007</x:v>
      </x:c>
      <x:c r="M20" s="9" t="n">
        <x:f>'Debt Schedule'!M51</x:f>
        <x:v>3.4042500000000007</x:v>
      </x:c>
      <x:c r="N20" s="9" t="n">
        <x:f>'Debt Schedule'!N51</x:f>
        <x:v>3.2040000000000006</x:v>
      </x:c>
      <x:c r="O20" s="9" t="n">
        <x:f>'Debt Schedule'!O51</x:f>
        <x:v>3.0037500000000006</x:v>
      </x:c>
      <x:c r="P20" s="9" t="n">
        <x:f>'Debt Schedule'!P51</x:f>
        <x:v>2.8035000000000005</x:v>
      </x:c>
      <x:c r="Q20" s="9" t="n">
        <x:f>'Debt Schedule'!Q51</x:f>
        <x:v>2.6032500000000005</x:v>
      </x:c>
      <x:c r="R20" s="9" t="n">
        <x:f>'Debt Schedule'!R51</x:f>
        <x:v>2.4030000000000005</x:v>
      </x:c>
      <x:c r="S20" s="9" t="n">
        <x:f>'Debt Schedule'!S51</x:f>
        <x:v>2.2027500000000004</x:v>
      </x:c>
      <x:c r="T20" s="9" t="n">
        <x:f>'Debt Schedule'!T51</x:f>
        <x:v>2.0025000000000004</x:v>
      </x:c>
      <x:c r="U20" s="9" t="n">
        <x:f>'Debt Schedule'!U51</x:f>
        <x:v>1.8022500000000004</x:v>
      </x:c>
      <x:c r="V20" s="9" t="n">
        <x:f>'Debt Schedule'!V51</x:f>
        <x:v>1.6020000000000003</x:v>
      </x:c>
      <x:c r="W20" s="9" t="n">
        <x:f>'Debt Schedule'!W51</x:f>
        <x:v>1.4017500000000003</x:v>
      </x:c>
      <x:c r="X20" s="9" t="n">
        <x:f>'Debt Schedule'!X51</x:f>
        <x:v>1.2015000000000002</x:v>
      </x:c>
      <x:c r="Y20" s="9" t="n">
        <x:f>'Debt Schedule'!Y51</x:f>
        <x:v>1.0012500000000002</x:v>
      </x:c>
      <x:c r="Z20" s="9" t="n">
        <x:f>'Debt Schedule'!Z51</x:f>
        <x:v>0.8010000000000002</x:v>
      </x:c>
      <x:c r="AA20" s="9" t="n">
        <x:f>'Debt Schedule'!AA51</x:f>
        <x:v>0.6007500000000001</x:v>
      </x:c>
      <x:c r="AB20" s="9" t="n">
        <x:f>'Debt Schedule'!AB51</x:f>
        <x:v>0.4005000000000001</x:v>
      </x:c>
      <x:c r="AC20" s="9" t="n">
        <x:f>'Debt Schedule'!AC51</x:f>
        <x:v>0.20025000000000004</x:v>
      </x:c>
      <x:c r="AD20" s="9" t="n">
        <x:f>'Debt Schedule'!AD51</x:f>
        <x:v>0</x:v>
      </x:c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0" customHeight="1">
      <x:c r="A22" s="2"/>
      <x:c r="B22" s="2"/>
      <x:c r="C22" s="2" t="str">
        <x:v>Total assets</x:v>
      </x:c>
      <x:c r="D22" s="2" t="n">
        <x:f>N22</x:f>
        <x:v>5868.402321123248</x:v>
      </x:c>
      <x:c r="E22" s="2" t="n">
        <x:f>R22</x:f>
        <x:v>5805.305656874381</x:v>
      </x:c>
      <x:c r="F22" s="2" t="n">
        <x:f>V22</x:f>
        <x:v>5728.196112338688</x:v>
      </x:c>
      <x:c r="G22" s="2" t="n">
        <x:f>Z22</x:f>
        <x:v>5647.543032747775</x:v>
      </x:c>
      <x:c r="H22" s="2" t="n">
        <x:f>AD22</x:f>
        <x:v>5573.279792393112</x:v>
      </x:c>
      <x:c r="I22" s="2"/>
      <x:c r="J22" s="2"/>
      <x:c r="K22" s="2" t="n">
        <x:f>SUM(K10:K20)</x:f>
        <x:v>5884.869041515573</x:v>
      </x:c>
      <x:c r="L22" s="2" t="n">
        <x:f>SUM(L10:L20)</x:f>
        <x:v>5900.565112312596</x:v>
      </x:c>
      <x:c r="M22" s="2" t="n">
        <x:f>SUM(M10:M20)</x:f>
        <x:v>5944.029335887544</x:v>
      </x:c>
      <x:c r="N22" s="2" t="n">
        <x:f>SUM(N10:N20)</x:f>
        <x:v>5868.402321123248</x:v>
      </x:c>
      <x:c r="O22" s="2" t="n">
        <x:f>SUM(O10:O20)</x:f>
        <x:v>5833.213073943643</x:v>
      </x:c>
      <x:c r="P22" s="2" t="n">
        <x:f>SUM(P10:P20)</x:f>
        <x:v>5845.70716720137</x:v>
      </x:c>
      <x:c r="Q22" s="2" t="n">
        <x:f>SUM(Q10:Q20)</x:f>
        <x:v>5886.135048300941</x:v>
      </x:c>
      <x:c r="R22" s="2" t="n">
        <x:f>SUM(R10:R20)</x:f>
        <x:v>5805.305656874381</x:v>
      </x:c>
      <x:c r="S22" s="2" t="n">
        <x:f>SUM(S10:S20)</x:f>
        <x:v>5759.045254989189</x:v>
      </x:c>
      <x:c r="T22" s="2" t="n">
        <x:f>SUM(T10:T20)</x:f>
        <x:v>5773.779126981078</x:v>
      </x:c>
      <x:c r="U22" s="2" t="n">
        <x:f>SUM(U10:U20)</x:f>
        <x:v>5812.2176152453785</x:v>
      </x:c>
      <x:c r="V22" s="2" t="n">
        <x:f>SUM(V10:V20)</x:f>
        <x:v>5728.196112338688</x:v>
      </x:c>
      <x:c r="W22" s="2" t="n">
        <x:f>SUM(W10:W20)</x:f>
        <x:v>5691.113121746313</x:v>
      </x:c>
      <x:c r="X22" s="2" t="n">
        <x:f>SUM(X10:X20)</x:f>
        <x:v>5699.430656448348</x:v>
      </x:c>
      <x:c r="Y22" s="2" t="n">
        <x:f>SUM(Y10:Y20)</x:f>
        <x:v>5736.430506381922</x:v>
      </x:c>
      <x:c r="Z22" s="2" t="n">
        <x:f>SUM(Z10:Z20)</x:f>
        <x:v>5647.543032747775</x:v>
      </x:c>
      <x:c r="AA22" s="2" t="n">
        <x:f>SUM(AA10:AA20)</x:f>
        <x:v>5619.4168125349215</x:v>
      </x:c>
      <x:c r="AB22" s="2" t="n">
        <x:f>SUM(AB10:AB20)</x:f>
        <x:v>5627.653009167008</x:v>
      </x:c>
      <x:c r="AC22" s="2" t="n">
        <x:f>SUM(AC10:AC20)</x:f>
        <x:v>5665.322465157924</x:v>
      </x:c>
      <x:c r="AD22" s="2" t="n">
        <x:f>SUM(AD10:AD20)</x:f>
        <x:v>5573.279792393112</x:v>
      </x:c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20" customHeight="1">
      <x:c r="A25" s="2"/>
      <x:c r="B25" s="2"/>
      <x:c r="C25" s="2" t="str">
        <x:v>Trade payables</x:v>
      </x:c>
      <x:c r="D25" s="2" t="n">
        <x:f>N25</x:f>
        <x:v>412.06151997534243</x:v>
      </x:c>
      <x:c r="E25" s="2" t="n">
        <x:f>R25</x:f>
        <x:v>421.22415996936985</x:v>
      </x:c>
      <x:c r="F25" s="2" t="n">
        <x:f>V25</x:f>
        <x:v>430.7522553257866</x:v>
      </x:c>
      <x:c r="G25" s="2" t="n">
        <x:f>Z25</x:f>
        <x:v>440.46608411166306</x:v>
      </x:c>
      <x:c r="H25" s="2" t="n">
        <x:f>AD25</x:f>
        <x:v>450.36795685878417</x:v>
      </x:c>
      <x:c r="I25" s="2"/>
      <x:c r="J25" s="2"/>
      <x:c r="K25" s="9" t="n">
        <x:f>'Working Capital'!K12</x:f>
        <x:v>412.06151997534243</x:v>
      </x:c>
      <x:c r="L25" s="9" t="n">
        <x:f>'Working Capital'!L12</x:f>
        <x:v>412.06151997534243</x:v>
      </x:c>
      <x:c r="M25" s="9" t="n">
        <x:f>'Working Capital'!M12</x:f>
        <x:v>412.06151997534243</x:v>
      </x:c>
      <x:c r="N25" s="9" t="n">
        <x:f>'Working Capital'!N12</x:f>
        <x:v>412.06151997534243</x:v>
      </x:c>
      <x:c r="O25" s="9" t="n">
        <x:f>'Working Capital'!O12</x:f>
        <x:v>421.22415996936985</x:v>
      </x:c>
      <x:c r="P25" s="9" t="n">
        <x:f>'Working Capital'!P12</x:f>
        <x:v>421.22415996936985</x:v>
      </x:c>
      <x:c r="Q25" s="9" t="n">
        <x:f>'Working Capital'!Q12</x:f>
        <x:v>421.22415996936985</x:v>
      </x:c>
      <x:c r="R25" s="9" t="n">
        <x:f>'Working Capital'!R12</x:f>
        <x:v>421.22415996936985</x:v>
      </x:c>
      <x:c r="S25" s="9" t="n">
        <x:f>'Working Capital'!S12</x:f>
        <x:v>430.7522553257866</x:v>
      </x:c>
      <x:c r="T25" s="9" t="n">
        <x:f>'Working Capital'!T12</x:f>
        <x:v>430.7522553257866</x:v>
      </x:c>
      <x:c r="U25" s="9" t="n">
        <x:f>'Working Capital'!U12</x:f>
        <x:v>430.7522553257866</x:v>
      </x:c>
      <x:c r="V25" s="9" t="n">
        <x:f>'Working Capital'!V12</x:f>
        <x:v>430.7522553257866</x:v>
      </x:c>
      <x:c r="W25" s="9" t="n">
        <x:f>'Working Capital'!W12</x:f>
        <x:v>440.46608411166306</x:v>
      </x:c>
      <x:c r="X25" s="9" t="n">
        <x:f>'Working Capital'!X12</x:f>
        <x:v>440.46608411166306</x:v>
      </x:c>
      <x:c r="Y25" s="9" t="n">
        <x:f>'Working Capital'!Y12</x:f>
        <x:v>440.46608411166306</x:v>
      </x:c>
      <x:c r="Z25" s="9" t="n">
        <x:f>'Working Capital'!Z12</x:f>
        <x:v>440.46608411166306</x:v>
      </x:c>
      <x:c r="AA25" s="9" t="n">
        <x:f>'Working Capital'!AA12</x:f>
        <x:v>450.36795685878417</x:v>
      </x:c>
      <x:c r="AB25" s="9" t="n">
        <x:f>'Working Capital'!AB12</x:f>
        <x:v>450.36795685878417</x:v>
      </x:c>
      <x:c r="AC25" s="9" t="n">
        <x:f>'Working Capital'!AC12</x:f>
        <x:v>450.36795685878417</x:v>
      </x:c>
      <x:c r="AD25" s="9" t="n">
        <x:f>'Working Capital'!AD12</x:f>
        <x:v>450.36795685878417</x:v>
      </x:c>
    </x:row>
    <x:row r="26" ht="20" customHeight="1">
      <x:c r="A26" s="2"/>
      <x:c r="B26" s="2"/>
      <x:c r="C26" s="2" t="str">
        <x:v>Other current liabilities</x:v>
      </x:c>
      <x:c r="D26" s="2" t="n">
        <x:f>N26</x:f>
        <x:v>352.8</x:v>
      </x:c>
      <x:c r="E26" s="2" t="n">
        <x:f>R26</x:f>
        <x:v>352.8</x:v>
      </x:c>
      <x:c r="F26" s="2" t="n">
        <x:f>V26</x:f>
        <x:v>352.8</x:v>
      </x:c>
      <x:c r="G26" s="2" t="n">
        <x:f>Z26</x:f>
        <x:v>352.8</x:v>
      </x:c>
      <x:c r="H26" s="2" t="n">
        <x:f>AD26</x:f>
        <x:v>352.8</x:v>
      </x:c>
      <x:c r="I26" s="2"/>
      <x:c r="J26" s="2"/>
      <x:c r="K26" s="9" t="n">
        <x:f>'Historical &amp; Sources'!F41</x:f>
        <x:v>352.8</x:v>
      </x:c>
      <x:c r="L26" s="9" t="n">
        <x:f>'Historical &amp; Sources'!F41</x:f>
        <x:v>352.8</x:v>
      </x:c>
      <x:c r="M26" s="9" t="n">
        <x:f>'Historical &amp; Sources'!F41</x:f>
        <x:v>352.8</x:v>
      </x:c>
      <x:c r="N26" s="9" t="n">
        <x:f>'Historical &amp; Sources'!F41</x:f>
        <x:v>352.8</x:v>
      </x:c>
      <x:c r="O26" s="9" t="n">
        <x:f>'Historical &amp; Sources'!F41</x:f>
        <x:v>352.8</x:v>
      </x:c>
      <x:c r="P26" s="9" t="n">
        <x:f>'Historical &amp; Sources'!F41</x:f>
        <x:v>352.8</x:v>
      </x:c>
      <x:c r="Q26" s="9" t="n">
        <x:f>'Historical &amp; Sources'!F41</x:f>
        <x:v>352.8</x:v>
      </x:c>
      <x:c r="R26" s="9" t="n">
        <x:f>'Historical &amp; Sources'!F41</x:f>
        <x:v>352.8</x:v>
      </x:c>
      <x:c r="S26" s="9" t="n">
        <x:f>'Historical &amp; Sources'!F41</x:f>
        <x:v>352.8</x:v>
      </x:c>
      <x:c r="T26" s="9" t="n">
        <x:f>'Historical &amp; Sources'!F41</x:f>
        <x:v>352.8</x:v>
      </x:c>
      <x:c r="U26" s="9" t="n">
        <x:f>'Historical &amp; Sources'!F41</x:f>
        <x:v>352.8</x:v>
      </x:c>
      <x:c r="V26" s="9" t="n">
        <x:f>'Historical &amp; Sources'!F41</x:f>
        <x:v>352.8</x:v>
      </x:c>
      <x:c r="W26" s="9" t="n">
        <x:f>'Historical &amp; Sources'!F41</x:f>
        <x:v>352.8</x:v>
      </x:c>
      <x:c r="X26" s="9" t="n">
        <x:f>'Historical &amp; Sources'!F41</x:f>
        <x:v>352.8</x:v>
      </x:c>
      <x:c r="Y26" s="9" t="n">
        <x:f>'Historical &amp; Sources'!F41</x:f>
        <x:v>352.8</x:v>
      </x:c>
      <x:c r="Z26" s="9" t="n">
        <x:f>'Historical &amp; Sources'!F41</x:f>
        <x:v>352.8</x:v>
      </x:c>
      <x:c r="AA26" s="9" t="n">
        <x:f>'Historical &amp; Sources'!F41</x:f>
        <x:v>352.8</x:v>
      </x:c>
      <x:c r="AB26" s="9" t="n">
        <x:f>'Historical &amp; Sources'!F41</x:f>
        <x:v>352.8</x:v>
      </x:c>
      <x:c r="AC26" s="9" t="n">
        <x:f>'Historical &amp; Sources'!F41</x:f>
        <x:v>352.8</x:v>
      </x:c>
      <x:c r="AD26" s="9" t="n">
        <x:f>'Historical &amp; Sources'!F41</x:f>
        <x:v>352.8</x:v>
      </x:c>
    </x:row>
    <x:row r="27" ht="20" customHeight="1">
      <x:c r="A27" s="2"/>
      <x:c r="B27" s="2"/>
      <x:c r="C27" s="2" t="str">
        <x:v>Operating lease liabilities</x:v>
      </x:c>
      <x:c r="D27" s="2" t="n">
        <x:f>N27</x:f>
        <x:v>101</x:v>
      </x:c>
      <x:c r="E27" s="2" t="n">
        <x:f>R27</x:f>
        <x:v>101</x:v>
      </x:c>
      <x:c r="F27" s="2" t="n">
        <x:f>V27</x:f>
        <x:v>101</x:v>
      </x:c>
      <x:c r="G27" s="2" t="n">
        <x:f>Z27</x:f>
        <x:v>101</x:v>
      </x:c>
      <x:c r="H27" s="2" t="n">
        <x:f>AD27</x:f>
        <x:v>101</x:v>
      </x:c>
      <x:c r="I27" s="2"/>
      <x:c r="J27" s="2"/>
      <x:c r="K27" s="9" t="n">
        <x:f>'Historical &amp; Sources'!F40+'Historical &amp; Sources'!F44</x:f>
        <x:v>101</x:v>
      </x:c>
      <x:c r="L27" s="9" t="n">
        <x:f>'Historical &amp; Sources'!F40+'Historical &amp; Sources'!F44</x:f>
        <x:v>101</x:v>
      </x:c>
      <x:c r="M27" s="9" t="n">
        <x:f>'Historical &amp; Sources'!F40+'Historical &amp; Sources'!F44</x:f>
        <x:v>101</x:v>
      </x:c>
      <x:c r="N27" s="9" t="n">
        <x:f>'Historical &amp; Sources'!F40+'Historical &amp; Sources'!F44</x:f>
        <x:v>101</x:v>
      </x:c>
      <x:c r="O27" s="9" t="n">
        <x:f>'Historical &amp; Sources'!F40+'Historical &amp; Sources'!F44</x:f>
        <x:v>101</x:v>
      </x:c>
      <x:c r="P27" s="9" t="n">
        <x:f>'Historical &amp; Sources'!F40+'Historical &amp; Sources'!F44</x:f>
        <x:v>101</x:v>
      </x:c>
      <x:c r="Q27" s="9" t="n">
        <x:f>'Historical &amp; Sources'!F40+'Historical &amp; Sources'!F44</x:f>
        <x:v>101</x:v>
      </x:c>
      <x:c r="R27" s="9" t="n">
        <x:f>'Historical &amp; Sources'!F40+'Historical &amp; Sources'!F44</x:f>
        <x:v>101</x:v>
      </x:c>
      <x:c r="S27" s="9" t="n">
        <x:f>'Historical &amp; Sources'!F40+'Historical &amp; Sources'!F44</x:f>
        <x:v>101</x:v>
      </x:c>
      <x:c r="T27" s="9" t="n">
        <x:f>'Historical &amp; Sources'!F40+'Historical &amp; Sources'!F44</x:f>
        <x:v>101</x:v>
      </x:c>
      <x:c r="U27" s="9" t="n">
        <x:f>'Historical &amp; Sources'!F40+'Historical &amp; Sources'!F44</x:f>
        <x:v>101</x:v>
      </x:c>
      <x:c r="V27" s="9" t="n">
        <x:f>'Historical &amp; Sources'!F40+'Historical &amp; Sources'!F44</x:f>
        <x:v>101</x:v>
      </x:c>
      <x:c r="W27" s="9" t="n">
        <x:f>'Historical &amp; Sources'!F40+'Historical &amp; Sources'!F44</x:f>
        <x:v>101</x:v>
      </x:c>
      <x:c r="X27" s="9" t="n">
        <x:f>'Historical &amp; Sources'!F40+'Historical &amp; Sources'!F44</x:f>
        <x:v>101</x:v>
      </x:c>
      <x:c r="Y27" s="9" t="n">
        <x:f>'Historical &amp; Sources'!F40+'Historical &amp; Sources'!F44</x:f>
        <x:v>101</x:v>
      </x:c>
      <x:c r="Z27" s="9" t="n">
        <x:f>'Historical &amp; Sources'!F40+'Historical &amp; Sources'!F44</x:f>
        <x:v>101</x:v>
      </x:c>
      <x:c r="AA27" s="9" t="n">
        <x:f>'Historical &amp; Sources'!F40+'Historical &amp; Sources'!F44</x:f>
        <x:v>101</x:v>
      </x:c>
      <x:c r="AB27" s="9" t="n">
        <x:f>'Historical &amp; Sources'!F40+'Historical &amp; Sources'!F44</x:f>
        <x:v>101</x:v>
      </x:c>
      <x:c r="AC27" s="9" t="n">
        <x:f>'Historical &amp; Sources'!F40+'Historical &amp; Sources'!F44</x:f>
        <x:v>101</x:v>
      </x:c>
      <x:c r="AD27" s="9" t="n">
        <x:f>'Historical &amp; Sources'!F40+'Historical &amp; Sources'!F44</x:f>
        <x:v>101</x:v>
      </x:c>
    </x:row>
    <x:row r="28" ht="20" customHeight="1">
      <x:c r="A28" s="2"/>
      <x:c r="B28" s="2"/>
      <x:c r="C28" s="2" t="str">
        <x:v>Deferred tax liabilities</x:v>
      </x:c>
      <x:c r="D28" s="2" t="n">
        <x:f>N28</x:f>
        <x:v>105.1</x:v>
      </x:c>
      <x:c r="E28" s="2" t="n">
        <x:f>R28</x:f>
        <x:v>94.1</x:v>
      </x:c>
      <x:c r="F28" s="2" t="n">
        <x:f>V28</x:f>
        <x:v>83.1</x:v>
      </x:c>
      <x:c r="G28" s="2" t="n">
        <x:f>Z28</x:f>
        <x:v>72.1</x:v>
      </x:c>
      <x:c r="H28" s="2" t="n">
        <x:f>AD28</x:f>
        <x:v>61.1</x:v>
      </x:c>
      <x:c r="I28" s="2"/>
      <x:c r="J28" s="2"/>
      <x:c r="K28" s="9" t="n">
        <x:f>'Historical &amp; Sources'!F45+'Taxes'!K25</x:f>
        <x:v>113.35</x:v>
      </x:c>
      <x:c r="L28" s="9" t="n">
        <x:f>'Historical &amp; Sources'!F45+'Taxes'!L25</x:f>
        <x:v>110.6</x:v>
      </x:c>
      <x:c r="M28" s="9" t="n">
        <x:f>'Historical &amp; Sources'!F45+'Taxes'!M25</x:f>
        <x:v>107.85</x:v>
      </x:c>
      <x:c r="N28" s="9" t="n">
        <x:f>'Historical &amp; Sources'!F45+'Taxes'!N25</x:f>
        <x:v>105.1</x:v>
      </x:c>
      <x:c r="O28" s="9" t="n">
        <x:f>'Historical &amp; Sources'!F45+'Taxes'!O25</x:f>
        <x:v>102.35</x:v>
      </x:c>
      <x:c r="P28" s="9" t="n">
        <x:f>'Historical &amp; Sources'!F45+'Taxes'!P25</x:f>
        <x:v>99.6</x:v>
      </x:c>
      <x:c r="Q28" s="9" t="n">
        <x:f>'Historical &amp; Sources'!F45+'Taxes'!Q25</x:f>
        <x:v>96.85</x:v>
      </x:c>
      <x:c r="R28" s="9" t="n">
        <x:f>'Historical &amp; Sources'!F45+'Taxes'!R25</x:f>
        <x:v>94.1</x:v>
      </x:c>
      <x:c r="S28" s="9" t="n">
        <x:f>'Historical &amp; Sources'!F45+'Taxes'!S25</x:f>
        <x:v>91.35</x:v>
      </x:c>
      <x:c r="T28" s="9" t="n">
        <x:f>'Historical &amp; Sources'!F45+'Taxes'!T25</x:f>
        <x:v>88.6</x:v>
      </x:c>
      <x:c r="U28" s="9" t="n">
        <x:f>'Historical &amp; Sources'!F45+'Taxes'!U25</x:f>
        <x:v>85.85</x:v>
      </x:c>
      <x:c r="V28" s="9" t="n">
        <x:f>'Historical &amp; Sources'!F45+'Taxes'!V25</x:f>
        <x:v>83.1</x:v>
      </x:c>
      <x:c r="W28" s="9" t="n">
        <x:f>'Historical &amp; Sources'!F45+'Taxes'!W25</x:f>
        <x:v>80.35</x:v>
      </x:c>
      <x:c r="X28" s="9" t="n">
        <x:f>'Historical &amp; Sources'!F45+'Taxes'!X25</x:f>
        <x:v>77.6</x:v>
      </x:c>
      <x:c r="Y28" s="9" t="n">
        <x:f>'Historical &amp; Sources'!F45+'Taxes'!Y25</x:f>
        <x:v>74.85</x:v>
      </x:c>
      <x:c r="Z28" s="9" t="n">
        <x:f>'Historical &amp; Sources'!F45+'Taxes'!Z25</x:f>
        <x:v>72.1</x:v>
      </x:c>
      <x:c r="AA28" s="9" t="n">
        <x:f>'Historical &amp; Sources'!F45+'Taxes'!AA25</x:f>
        <x:v>69.35</x:v>
      </x:c>
      <x:c r="AB28" s="9" t="n">
        <x:f>'Historical &amp; Sources'!F45+'Taxes'!AB25</x:f>
        <x:v>66.6</x:v>
      </x:c>
      <x:c r="AC28" s="9" t="n">
        <x:f>'Historical &amp; Sources'!F45+'Taxes'!AC25</x:f>
        <x:v>63.85</x:v>
      </x:c>
      <x:c r="AD28" s="9" t="n">
        <x:f>'Historical &amp; Sources'!F45+'Taxes'!AD25</x:f>
        <x:v>61.1</x:v>
      </x:c>
    </x:row>
    <x:row r="29" ht="20" customHeight="1">
      <x:c r="A29" s="2"/>
      <x:c r="B29" s="2"/>
      <x:c r="C29" s="2" t="str">
        <x:v>Other liabilities</x:v>
      </x:c>
      <x:c r="D29" s="2" t="n">
        <x:f>N29</x:f>
        <x:v>93</x:v>
      </x:c>
      <x:c r="E29" s="2" t="n">
        <x:f>R29</x:f>
        <x:v>93</x:v>
      </x:c>
      <x:c r="F29" s="2" t="n">
        <x:f>V29</x:f>
        <x:v>93</x:v>
      </x:c>
      <x:c r="G29" s="2" t="n">
        <x:f>Z29</x:f>
        <x:v>93</x:v>
      </x:c>
      <x:c r="H29" s="2" t="n">
        <x:f>AD29</x:f>
        <x:v>93</x:v>
      </x:c>
      <x:c r="I29" s="2"/>
      <x:c r="J29" s="2"/>
      <x:c r="K29" s="9" t="n">
        <x:f>'Historical &amp; Sources'!F46</x:f>
        <x:v>93</x:v>
      </x:c>
      <x:c r="L29" s="9" t="n">
        <x:f>'Historical &amp; Sources'!F46</x:f>
        <x:v>93</x:v>
      </x:c>
      <x:c r="M29" s="9" t="n">
        <x:f>'Historical &amp; Sources'!F46</x:f>
        <x:v>93</x:v>
      </x:c>
      <x:c r="N29" s="9" t="n">
        <x:f>'Historical &amp; Sources'!F46</x:f>
        <x:v>93</x:v>
      </x:c>
      <x:c r="O29" s="9" t="n">
        <x:f>'Historical &amp; Sources'!F46</x:f>
        <x:v>93</x:v>
      </x:c>
      <x:c r="P29" s="9" t="n">
        <x:f>'Historical &amp; Sources'!F46</x:f>
        <x:v>93</x:v>
      </x:c>
      <x:c r="Q29" s="9" t="n">
        <x:f>'Historical &amp; Sources'!F46</x:f>
        <x:v>93</x:v>
      </x:c>
      <x:c r="R29" s="9" t="n">
        <x:f>'Historical &amp; Sources'!F46</x:f>
        <x:v>93</x:v>
      </x:c>
      <x:c r="S29" s="9" t="n">
        <x:f>'Historical &amp; Sources'!F46</x:f>
        <x:v>93</x:v>
      </x:c>
      <x:c r="T29" s="9" t="n">
        <x:f>'Historical &amp; Sources'!F46</x:f>
        <x:v>93</x:v>
      </x:c>
      <x:c r="U29" s="9" t="n">
        <x:f>'Historical &amp; Sources'!F46</x:f>
        <x:v>93</x:v>
      </x:c>
      <x:c r="V29" s="9" t="n">
        <x:f>'Historical &amp; Sources'!F46</x:f>
        <x:v>93</x:v>
      </x:c>
      <x:c r="W29" s="9" t="n">
        <x:f>'Historical &amp; Sources'!F46</x:f>
        <x:v>93</x:v>
      </x:c>
      <x:c r="X29" s="9" t="n">
        <x:f>'Historical &amp; Sources'!F46</x:f>
        <x:v>93</x:v>
      </x:c>
      <x:c r="Y29" s="9" t="n">
        <x:f>'Historical &amp; Sources'!F46</x:f>
        <x:v>93</x:v>
      </x:c>
      <x:c r="Z29" s="9" t="n">
        <x:f>'Historical &amp; Sources'!F46</x:f>
        <x:v>93</x:v>
      </x:c>
      <x:c r="AA29" s="9" t="n">
        <x:f>'Historical &amp; Sources'!F46</x:f>
        <x:v>93</x:v>
      </x:c>
      <x:c r="AB29" s="9" t="n">
        <x:f>'Historical &amp; Sources'!F46</x:f>
        <x:v>93</x:v>
      </x:c>
      <x:c r="AC29" s="9" t="n">
        <x:f>'Historical &amp; Sources'!F46</x:f>
        <x:v>93</x:v>
      </x:c>
      <x:c r="AD29" s="9" t="n">
        <x:f>'Historical &amp; Sources'!F46</x:f>
        <x:v>93</x:v>
      </x:c>
    </x:row>
    <x:row r="30" ht="20" customHeight="1">
      <x:c r="A30" s="2"/>
      <x:c r="B30" s="2"/>
      <x:c r="C30" s="2" t="str">
        <x:v>Debt principal including finance leases</x:v>
      </x:c>
      <x:c r="D30" s="2" t="n">
        <x:f>N30</x:f>
        <x:v>2351.62934088116</x:v>
      </x:c>
      <x:c r="E30" s="2" t="n">
        <x:f>R30</x:f>
        <x:v>2198.6559573522345</x:v>
      </x:c>
      <x:c r="F30" s="2" t="n">
        <x:f>V30</x:f>
        <x:v>1990.000459110361</x:v>
      </x:c>
      <x:c r="G30" s="2" t="n">
        <x:f>Z30</x:f>
        <x:v>1733.679318876366</x:v>
      </x:c>
      <x:c r="H30" s="2" t="n">
        <x:f>AD30</x:f>
        <x:v>1434.2146809642998</x:v>
      </x:c>
      <x:c r="I30" s="2"/>
      <x:c r="J30" s="2"/>
      <x:c r="K30" s="9" t="n">
        <x:f>'Debt Schedule'!K53</x:f>
        <x:v>2437.4627389089446</x:v>
      </x:c>
      <x:c r="L30" s="9" t="n">
        <x:f>'Debt Schedule'!L53</x:f>
        <x:v>2440.930380356225</x:v>
      </x:c>
      <x:c r="M30" s="9" t="n">
        <x:f>'Debt Schedule'!M53</x:f>
        <x:v>2441.268992689195</x:v>
      </x:c>
      <x:c r="N30" s="9" t="n">
        <x:f>'Debt Schedule'!N53</x:f>
        <x:v>2351.62934088116</x:v>
      </x:c>
      <x:c r="O30" s="9" t="n">
        <x:f>'Debt Schedule'!O53</x:f>
        <x:v>2309.173347006342</x:v>
      </x:c>
      <x:c r="P30" s="9" t="n">
        <x:f>'Debt Schedule'!P53</x:f>
        <x:v>2305.397240869303</x:v>
      </x:c>
      <x:c r="Q30" s="9" t="n">
        <x:f>'Debt Schedule'!Q53</x:f>
        <x:v>2297.8519043855913</x:v>
      </x:c>
      <x:c r="R30" s="9" t="n">
        <x:f>'Debt Schedule'!R53</x:f>
        <x:v>2198.6559573522345</x:v>
      </x:c>
      <x:c r="S30" s="9" t="n">
        <x:f>'Debt Schedule'!S53</x:f>
        <x:v>2136.3598876701667</x:v>
      </x:c>
      <x:c r="T30" s="9" t="n">
        <x:f>'Debt Schedule'!T53</x:f>
        <x:v>2124.5999970273006</x:v>
      </x:c>
      <x:c r="U30" s="9" t="n">
        <x:f>'Debt Schedule'!U53</x:f>
        <x:v>2103.1827393553435</x:v>
      </x:c>
      <x:c r="V30" s="9" t="n">
        <x:f>'Debt Schedule'!V53</x:f>
        <x:v>1990.000459110361</x:v>
      </x:c>
      <x:c r="W30" s="9" t="n">
        <x:f>'Debt Schedule'!W53</x:f>
        <x:v>1926.7548645732024</x:v>
      </x:c>
      <x:c r="X30" s="9" t="n">
        <x:f>'Debt Schedule'!X53</x:f>
        <x:v>1898.1314996420476</x:v>
      </x:c>
      <x:c r="Y30" s="9" t="n">
        <x:f>'Debt Schedule'!Y53</x:f>
        <x:v>1862.9334580944926</x:v>
      </x:c>
      <x:c r="Z30" s="9" t="n">
        <x:f>'Debt Schedule'!Z53</x:f>
        <x:v>1733.679318876366</x:v>
      </x:c>
      <x:c r="AA30" s="9" t="n">
        <x:f>'Debt Schedule'!AA53</x:f>
        <x:v>1668.248659492681</x:v>
      </x:c>
      <x:c r="AB30" s="9" t="n">
        <x:f>'Debt Schedule'!AB53</x:f>
        <x:v>1627.5426927083106</x:v>
      </x:c>
      <x:c r="AC30" s="9" t="n">
        <x:f>'Debt Schedule'!AC53</x:f>
        <x:v>1579.1887817284307</x:v>
      </x:c>
      <x:c r="AD30" s="9" t="n">
        <x:f>'Debt Schedule'!AD53</x:f>
        <x:v>1434.2146809642998</x:v>
      </x:c>
    </x:row>
    <x:row r="31" ht="20" customHeight="1">
      <x:c r="A31" s="2"/>
      <x:c r="B31" s="2"/>
      <x:c r="C31" s="2" t="str">
        <x:v>Unamortized term financing fees</x:v>
      </x:c>
      <x:c r="D31" s="2" t="n">
        <x:f>N31</x:f>
        <x:v>-38.339458612522265</x:v>
      </x:c>
      <x:c r="E31" s="2" t="n">
        <x:f>R31</x:f>
        <x:v>-28.225302759802087</x:v>
      </x:c>
      <x:c r="F31" s="2" t="n">
        <x:f>V31</x:f>
        <x:v>-18.107854185781456</x:v>
      </x:c>
      <x:c r="G31" s="2" t="n">
        <x:f>Z31</x:f>
        <x:v>-8.644019306829478</x:v>
      </x:c>
      <x:c r="H31" s="2" t="n">
        <x:f>AD31</x:f>
        <x:v>-1.7799999999999978</x:v>
      </x:c>
      <x:c r="I31" s="2"/>
      <x:c r="J31" s="2"/>
      <x:c r="K31" s="9" t="n">
        <x:f>-'Debt Schedule'!K49-'Debt Schedule'!K50</x:f>
        <x:v>-45.76832749575476</x:v>
      </x:c>
      <x:c r="L31" s="9" t="n">
        <x:f>-'Debt Schedule'!L49-'Debt Schedule'!L50</x:f>
        <x:v>-43.68019668334267</x:v>
      </x:c>
      <x:c r="M31" s="9" t="n">
        <x:f>-'Debt Schedule'!M49-'Debt Schedule'!M50</x:f>
        <x:v>-41.596001226974025</x:v>
      </x:c>
      <x:c r="N31" s="9" t="n">
        <x:f>-'Debt Schedule'!N49-'Debt Schedule'!N50</x:f>
        <x:v>-38.339458612522265</x:v>
      </x:c>
      <x:c r="O31" s="9" t="n">
        <x:f>-'Debt Schedule'!O49-'Debt Schedule'!O50</x:f>
        <x:v>-35.673778841548426</x:v>
      </x:c>
      <x:c r="P31" s="9" t="n">
        <x:f>-'Debt Schedule'!P49-'Debt Schedule'!P50</x:f>
        <x:v>-33.60185570185492</x:v>
      </x:c>
      <x:c r="Q31" s="9" t="n">
        <x:f>-'Debt Schedule'!Q49-'Debt Schedule'!Q50</x:f>
        <x:v>-31.51704433403948</x:v>
      </x:c>
      <x:c r="R31" s="9" t="n">
        <x:f>-'Debt Schedule'!R49-'Debt Schedule'!R50</x:f>
        <x:v>-28.225302759802087</x:v>
      </x:c>
      <x:c r="S31" s="9" t="n">
        <x:f>-'Debt Schedule'!S49-'Debt Schedule'!S50</x:f>
        <x:v>-25.474581399927672</x:v>
      </x:c>
      <x:c r="T31" s="9" t="n">
        <x:f>-'Debt Schedule'!T49-'Debt Schedule'!T50</x:f>
        <x:v>-23.345909678852202</x:v>
      </x:c>
      <x:c r="U31" s="9" t="n">
        <x:f>-'Debt Schedule'!U49-'Debt Schedule'!U50</x:f>
        <x:v>-21.13143171549469</x:v>
      </x:c>
      <x:c r="V31" s="9" t="n">
        <x:f>-'Debt Schedule'!V49-'Debt Schedule'!V50</x:f>
        <x:v>-18.107854185781456</x:v>
      </x:c>
      <x:c r="W31" s="9" t="n">
        <x:f>-'Debt Schedule'!W49-'Debt Schedule'!W50</x:f>
        <x:v>-15.60569879472799</x:v>
      </x:c>
      <x:c r="X31" s="9" t="n">
        <x:f>-'Debt Schedule'!X49-'Debt Schedule'!X50</x:f>
        <x:v>-13.411344549308488</x:v>
      </x:c>
      <x:c r="Y31" s="9" t="n">
        <x:f>-'Debt Schedule'!Y49-'Debt Schedule'!Y50</x:f>
        <x:v>-11.213442589166448</x:v>
      </x:c>
      <x:c r="Z31" s="9" t="n">
        <x:f>-'Debt Schedule'!Z49-'Debt Schedule'!Z50</x:f>
        <x:v>-8.644019306829478</x:v>
      </x:c>
      <x:c r="AA31" s="9" t="n">
        <x:f>-'Debt Schedule'!AA49-'Debt Schedule'!AA50</x:f>
        <x:v>-6.443016878512244</x:v>
      </x:c>
      <x:c r="AB31" s="9" t="n">
        <x:f>-'Debt Schedule'!AB49-'Debt Schedule'!AB50</x:f>
        <x:v>-4.375048147257308</x:v>
      </x:c>
      <x:c r="AC31" s="9" t="n">
        <x:f>-'Debt Schedule'!AC49-'Debt Schedule'!AC50</x:f>
        <x:v>-2.365808412713253</x:v>
      </x:c>
      <x:c r="AD31" s="9" t="n">
        <x:f>-'Debt Schedule'!AD49-'Debt Schedule'!AD50</x:f>
        <x:v>-1.7799999999999978</x:v>
      </x:c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 ht="20" customHeight="1">
      <x:c r="A33" s="2"/>
      <x:c r="B33" s="2"/>
      <x:c r="C33" s="2" t="str">
        <x:v>Total liabilities</x:v>
      </x:c>
      <x:c r="D33" s="2" t="n">
        <x:f>N33</x:f>
        <x:v>3377.25140224398</x:v>
      </x:c>
      <x:c r="E33" s="2" t="n">
        <x:f>R33</x:f>
        <x:v>3232.5548145618022</x:v>
      </x:c>
      <x:c r="F33" s="2" t="n">
        <x:f>V33</x:f>
        <x:v>3032.544860250366</x:v>
      </x:c>
      <x:c r="G33" s="2" t="n">
        <x:f>Z33</x:f>
        <x:v>2784.4013836812</x:v>
      </x:c>
      <x:c r="H33" s="2" t="n">
        <x:f>AD33</x:f>
        <x:v>2490.7026378230835</x:v>
      </x:c>
      <x:c r="I33" s="2"/>
      <x:c r="J33" s="2"/>
      <x:c r="K33" s="2" t="n">
        <x:f>SUM(K25:K31)</x:f>
        <x:v>3463.9059313885323</x:v>
      </x:c>
      <x:c r="L33" s="2" t="n">
        <x:f>SUM(L25:L31)</x:f>
        <x:v>3466.711703648225</x:v>
      </x:c>
      <x:c r="M33" s="2" t="n">
        <x:f>SUM(M25:M31)</x:f>
        <x:v>3466.3845114375636</x:v>
      </x:c>
      <x:c r="N33" s="2" t="n">
        <x:f>SUM(N25:N31)</x:f>
        <x:v>3377.25140224398</x:v>
      </x:c>
      <x:c r="O33" s="2" t="n">
        <x:f>SUM(O25:O31)</x:f>
        <x:v>3343.8737281341632</x:v>
      </x:c>
      <x:c r="P33" s="2" t="n">
        <x:f>SUM(P25:P31)</x:f>
        <x:v>3339.4195451368178</x:v>
      </x:c>
      <x:c r="Q33" s="2" t="n">
        <x:f>SUM(Q25:Q31)</x:f>
        <x:v>3331.209020020922</x:v>
      </x:c>
      <x:c r="R33" s="2" t="n">
        <x:f>SUM(R25:R31)</x:f>
        <x:v>3232.5548145618022</x:v>
      </x:c>
      <x:c r="S33" s="2" t="n">
        <x:f>SUM(S25:S31)</x:f>
        <x:v>3179.787561596026</x:v>
      </x:c>
      <x:c r="T33" s="2" t="n">
        <x:f>SUM(T25:T31)</x:f>
        <x:v>3167.4063426742346</x:v>
      </x:c>
      <x:c r="U33" s="2" t="n">
        <x:f>SUM(U25:U31)</x:f>
        <x:v>3145.4535629656357</x:v>
      </x:c>
      <x:c r="V33" s="2" t="n">
        <x:f>SUM(V25:V31)</x:f>
        <x:v>3032.544860250366</x:v>
      </x:c>
      <x:c r="W33" s="2" t="n">
        <x:f>SUM(W25:W31)</x:f>
        <x:v>2978.7652498901375</x:v>
      </x:c>
      <x:c r="X33" s="2" t="n">
        <x:f>SUM(X25:X31)</x:f>
        <x:v>2949.586239204402</x:v>
      </x:c>
      <x:c r="Y33" s="2" t="n">
        <x:f>SUM(Y25:Y31)</x:f>
        <x:v>2913.8360996169895</x:v>
      </x:c>
      <x:c r="Z33" s="2" t="n">
        <x:f>SUM(Z25:Z31)</x:f>
        <x:v>2784.4013836812</x:v>
      </x:c>
      <x:c r="AA33" s="2" t="n">
        <x:f>SUM(AA25:AA31)</x:f>
        <x:v>2728.323599472953</x:v>
      </x:c>
      <x:c r="AB33" s="2" t="n">
        <x:f>SUM(AB25:AB31)</x:f>
        <x:v>2686.935601419837</x:v>
      </x:c>
      <x:c r="AC33" s="2" t="n">
        <x:f>SUM(AC25:AC31)</x:f>
        <x:v>2637.840930174502</x:v>
      </x:c>
      <x:c r="AD33" s="2" t="n">
        <x:f>SUM(AD25:AD31)</x:f>
        <x:v>2490.7026378230835</x:v>
      </x:c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 ht="20" customHeight="1">
      <x:c r="A35" s="2"/>
      <x:c r="B35" s="2"/>
      <x:c r="C35" s="2" t="str">
        <x:v>Opening sponsor book equity</x:v>
      </x:c>
      <x:c r="D35" s="2" t="n">
        <x:f>N35</x:f>
        <x:v>2425.3940000000007</x:v>
      </x:c>
      <x:c r="E35" s="2" t="n">
        <x:f>R35</x:f>
        <x:v>2425.3940000000007</x:v>
      </x:c>
      <x:c r="F35" s="2" t="n">
        <x:f>V35</x:f>
        <x:v>2425.3940000000007</x:v>
      </x:c>
      <x:c r="G35" s="2" t="n">
        <x:f>Z35</x:f>
        <x:v>2425.3940000000007</x:v>
      </x:c>
      <x:c r="H35" s="2" t="n">
        <x:f>AD35</x:f>
        <x:v>2425.3940000000007</x:v>
      </x:c>
      <x:c r="I35" s="2"/>
      <x:c r="J35" s="2"/>
      <x:c r="K35" s="9" t="n">
        <x:f>'Purchase Accounting'!D17</x:f>
        <x:v>2425.3940000000007</x:v>
      </x:c>
      <x:c r="L35" s="9" t="n">
        <x:f>'Purchase Accounting'!D17</x:f>
        <x:v>2425.3940000000007</x:v>
      </x:c>
      <x:c r="M35" s="9" t="n">
        <x:f>'Purchase Accounting'!D17</x:f>
        <x:v>2425.3940000000007</x:v>
      </x:c>
      <x:c r="N35" s="9" t="n">
        <x:f>'Purchase Accounting'!D17</x:f>
        <x:v>2425.3940000000007</x:v>
      </x:c>
      <x:c r="O35" s="9" t="n">
        <x:f>'Purchase Accounting'!D17</x:f>
        <x:v>2425.3940000000007</x:v>
      </x:c>
      <x:c r="P35" s="9" t="n">
        <x:f>'Purchase Accounting'!D17</x:f>
        <x:v>2425.3940000000007</x:v>
      </x:c>
      <x:c r="Q35" s="9" t="n">
        <x:f>'Purchase Accounting'!D17</x:f>
        <x:v>2425.3940000000007</x:v>
      </x:c>
      <x:c r="R35" s="9" t="n">
        <x:f>'Purchase Accounting'!D17</x:f>
        <x:v>2425.3940000000007</x:v>
      </x:c>
      <x:c r="S35" s="9" t="n">
        <x:f>'Purchase Accounting'!D17</x:f>
        <x:v>2425.3940000000007</x:v>
      </x:c>
      <x:c r="T35" s="9" t="n">
        <x:f>'Purchase Accounting'!D17</x:f>
        <x:v>2425.3940000000007</x:v>
      </x:c>
      <x:c r="U35" s="9" t="n">
        <x:f>'Purchase Accounting'!D17</x:f>
        <x:v>2425.3940000000007</x:v>
      </x:c>
      <x:c r="V35" s="9" t="n">
        <x:f>'Purchase Accounting'!D17</x:f>
        <x:v>2425.3940000000007</x:v>
      </x:c>
      <x:c r="W35" s="9" t="n">
        <x:f>'Purchase Accounting'!D17</x:f>
        <x:v>2425.3940000000007</x:v>
      </x:c>
      <x:c r="X35" s="9" t="n">
        <x:f>'Purchase Accounting'!D17</x:f>
        <x:v>2425.3940000000007</x:v>
      </x:c>
      <x:c r="Y35" s="9" t="n">
        <x:f>'Purchase Accounting'!D17</x:f>
        <x:v>2425.3940000000007</x:v>
      </x:c>
      <x:c r="Z35" s="9" t="n">
        <x:f>'Purchase Accounting'!D17</x:f>
        <x:v>2425.3940000000007</x:v>
      </x:c>
      <x:c r="AA35" s="9" t="n">
        <x:f>'Purchase Accounting'!D17</x:f>
        <x:v>2425.3940000000007</x:v>
      </x:c>
      <x:c r="AB35" s="9" t="n">
        <x:f>'Purchase Accounting'!D17</x:f>
        <x:v>2425.3940000000007</x:v>
      </x:c>
      <x:c r="AC35" s="9" t="n">
        <x:f>'Purchase Accounting'!D17</x:f>
        <x:v>2425.3940000000007</x:v>
      </x:c>
      <x:c r="AD35" s="9" t="n">
        <x:f>'Purchase Accounting'!D17</x:f>
        <x:v>2425.3940000000007</x:v>
      </x:c>
    </x:row>
    <x:row r="36" ht="20" customHeight="1">
      <x:c r="A36" s="2"/>
      <x:c r="B36" s="2"/>
      <x:c r="C36" s="2" t="str">
        <x:v>Cumulative retained earnings</x:v>
      </x:c>
      <x:c r="D36" s="2" t="n">
        <x:f>N36</x:f>
        <x:v>65.75691887926682</x:v>
      </x:c>
      <x:c r="E36" s="2" t="n">
        <x:f>R36</x:f>
        <x:v>147.3568423125778</x:v>
      </x:c>
      <x:c r="F36" s="2" t="n">
        <x:f>V36</x:f>
        <x:v>270.25725208832154</x:v>
      </x:c>
      <x:c r="G36" s="2" t="n">
        <x:f>Z36</x:f>
        <x:v>437.7476490665748</x:v>
      </x:c>
      <x:c r="H36" s="2" t="n">
        <x:f>AD36</x:f>
        <x:v>657.1831545700271</x:v>
      </x:c>
      <x:c r="I36" s="2"/>
      <x:c r="J36" s="2"/>
      <x:c r="K36" s="9" t="n">
        <x:f>0+'Operating Case'!K36</x:f>
        <x:v>-4.430889872960641</x:v>
      </x:c>
      <x:c r="L36" s="9" t="n">
        <x:f>K36+'Operating Case'!L36</x:f>
        <x:v>8.459408664370462</x:v>
      </x:c>
      <x:c r="M36" s="9" t="n">
        <x:f>L36+'Operating Case'!M36</x:f>
        <x:v>52.250824449979895</x:v>
      </x:c>
      <x:c r="N36" s="9" t="n">
        <x:f>M36+'Operating Case'!N36</x:f>
        <x:v>65.75691887926682</x:v>
      </x:c>
      <x:c r="O36" s="9" t="n">
        <x:f>N36+'Operating Case'!O36</x:f>
        <x:v>63.945345809478944</x:v>
      </x:c>
      <x:c r="P36" s="9" t="n">
        <x:f>O36+'Operating Case'!P36</x:f>
        <x:v>80.89362206455127</x:v>
      </x:c>
      <x:c r="Q36" s="9" t="n">
        <x:f>P36+'Operating Case'!Q36</x:f>
        <x:v>129.53202828001844</x:v>
      </x:c>
      <x:c r="R36" s="9" t="n">
        <x:f>Q36+'Operating Case'!R36</x:f>
        <x:v>147.3568423125778</x:v>
      </x:c>
      <x:c r="S36" s="9" t="n">
        <x:f>R36+'Operating Case'!S36</x:f>
        <x:v>153.8636933931615</x:v>
      </x:c>
      <x:c r="T36" s="9" t="n">
        <x:f>S36+'Operating Case'!T36</x:f>
        <x:v>180.97878430684287</x:v>
      </x:c>
      <x:c r="U36" s="9" t="n">
        <x:f>T36+'Operating Case'!U36</x:f>
        <x:v>241.37005227974316</x:v>
      </x:c>
      <x:c r="V36" s="9" t="n">
        <x:f>U36+'Operating Case'!V36</x:f>
        <x:v>270.25725208832154</x:v>
      </x:c>
      <x:c r="W36" s="9" t="n">
        <x:f>V36+'Operating Case'!W36</x:f>
        <x:v>286.95387185617346</x:v>
      </x:c>
      <x:c r="X36" s="9" t="n">
        <x:f>W36+'Operating Case'!X36</x:f>
        <x:v>324.4504172439441</x:v>
      </x:c>
      <x:c r="Y36" s="9" t="n">
        <x:f>X36+'Operating Case'!Y36</x:f>
        <x:v>397.20040676493227</x:v>
      </x:c>
      <x:c r="Z36" s="9" t="n">
        <x:f>Y36+'Operating Case'!Z36</x:f>
        <x:v>437.7476490665748</x:v>
      </x:c>
      <x:c r="AA36" s="9" t="n">
        <x:f>Z36+'Operating Case'!AA36</x:f>
        <x:v>465.69921306196795</x:v>
      </x:c>
      <x:c r="AB36" s="9" t="n">
        <x:f>AA36+'Operating Case'!AB36</x:f>
        <x:v>515.3234077471712</x:v>
      </x:c>
      <x:c r="AC36" s="9" t="n">
        <x:f>AB36+'Operating Case'!AC36</x:f>
        <x:v>602.0875349834223</x:v>
      </x:c>
      <x:c r="AD36" s="9" t="n">
        <x:f>AC36+'Operating Case'!AD36</x:f>
        <x:v>657.1831545700271</x:v>
      </x:c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 ht="20" customHeight="1">
      <x:c r="A38" s="2"/>
      <x:c r="B38" s="2"/>
      <x:c r="C38" s="2" t="str">
        <x:v>Total book equity</x:v>
      </x:c>
      <x:c r="D38" s="2" t="n">
        <x:f>N38</x:f>
        <x:v>2491.1509188792675</x:v>
      </x:c>
      <x:c r="E38" s="2" t="n">
        <x:f>R38</x:f>
        <x:v>2572.7508423125787</x:v>
      </x:c>
      <x:c r="F38" s="2" t="n">
        <x:f>V38</x:f>
        <x:v>2695.651252088322</x:v>
      </x:c>
      <x:c r="G38" s="2" t="n">
        <x:f>Z38</x:f>
        <x:v>2863.1416490665756</x:v>
      </x:c>
      <x:c r="H38" s="2" t="n">
        <x:f>AD38</x:f>
        <x:v>3082.5771545700277</x:v>
      </x:c>
      <x:c r="I38" s="2"/>
      <x:c r="J38" s="2"/>
      <x:c r="K38" s="2" t="n">
        <x:f>K35+K36</x:f>
        <x:v>2420.96311012704</x:v>
      </x:c>
      <x:c r="L38" s="2" t="n">
        <x:f>L35+L36</x:f>
        <x:v>2433.8534086643713</x:v>
      </x:c>
      <x:c r="M38" s="2" t="n">
        <x:f>M35+M36</x:f>
        <x:v>2477.6448244499807</x:v>
      </x:c>
      <x:c r="N38" s="2" t="n">
        <x:f>N35+N36</x:f>
        <x:v>2491.1509188792675</x:v>
      </x:c>
      <x:c r="O38" s="2" t="n">
        <x:f>O35+O36</x:f>
        <x:v>2489.3393458094797</x:v>
      </x:c>
      <x:c r="P38" s="2" t="n">
        <x:f>P35+P36</x:f>
        <x:v>2506.287622064552</x:v>
      </x:c>
      <x:c r="Q38" s="2" t="n">
        <x:f>Q35+Q36</x:f>
        <x:v>2554.926028280019</x:v>
      </x:c>
      <x:c r="R38" s="2" t="n">
        <x:f>R35+R36</x:f>
        <x:v>2572.7508423125787</x:v>
      </x:c>
      <x:c r="S38" s="2" t="n">
        <x:f>S35+S36</x:f>
        <x:v>2579.2576933931623</x:v>
      </x:c>
      <x:c r="T38" s="2" t="n">
        <x:f>T35+T36</x:f>
        <x:v>2606.3727843068436</x:v>
      </x:c>
      <x:c r="U38" s="2" t="n">
        <x:f>U35+U36</x:f>
        <x:v>2666.7640522797437</x:v>
      </x:c>
      <x:c r="V38" s="2" t="n">
        <x:f>V35+V36</x:f>
        <x:v>2695.651252088322</x:v>
      </x:c>
      <x:c r="W38" s="2" t="n">
        <x:f>W35+W36</x:f>
        <x:v>2712.347871856174</x:v>
      </x:c>
      <x:c r="X38" s="2" t="n">
        <x:f>X35+X36</x:f>
        <x:v>2749.844417243945</x:v>
      </x:c>
      <x:c r="Y38" s="2" t="n">
        <x:f>Y35+Y36</x:f>
        <x:v>2822.594406764933</x:v>
      </x:c>
      <x:c r="Z38" s="2" t="n">
        <x:f>Z35+Z36</x:f>
        <x:v>2863.1416490665756</x:v>
      </x:c>
      <x:c r="AA38" s="2" t="n">
        <x:f>AA35+AA36</x:f>
        <x:v>2891.0932130619685</x:v>
      </x:c>
      <x:c r="AB38" s="2" t="n">
        <x:f>AB35+AB36</x:f>
        <x:v>2940.717407747172</x:v>
      </x:c>
      <x:c r="AC38" s="2" t="n">
        <x:f>AC35+AC36</x:f>
        <x:v>3027.481534983423</x:v>
      </x:c>
      <x:c r="AD38" s="2" t="n">
        <x:f>AD35+AD36</x:f>
        <x:v>3082.5771545700277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223B5B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2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Returns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/>
      <x:c r="E8"/>
      <x:c r="F8"/>
      <x:c r="G8"/>
      <x:c r="H8"/>
      <x:c r="I8" s="2"/>
      <x:c r="J8" s="2"/>
      <x:c r="K8" s="11" t="n">
        <x:v>46112</x:v>
      </x:c>
      <x:c r="L8" s="11" t="n">
        <x:v>46203</x:v>
      </x:c>
      <x:c r="M8" s="11" t="n">
        <x:v>46295</x:v>
      </x:c>
      <x:c r="N8" s="11" t="n">
        <x:v>46387</x:v>
      </x:c>
      <x:c r="O8" s="11" t="n">
        <x:v>46477</x:v>
      </x:c>
      <x:c r="P8" s="11" t="n">
        <x:v>46568</x:v>
      </x:c>
      <x:c r="Q8" s="11" t="n">
        <x:v>46660</x:v>
      </x:c>
      <x:c r="R8" s="11" t="n">
        <x:v>46752</x:v>
      </x:c>
      <x:c r="S8" s="11" t="n">
        <x:v>46843</x:v>
      </x:c>
      <x:c r="T8" s="11" t="n">
        <x:v>46934</x:v>
      </x:c>
      <x:c r="U8" s="11" t="n">
        <x:v>47026</x:v>
      </x:c>
      <x:c r="V8" s="11" t="n">
        <x:v>47118</x:v>
      </x:c>
      <x:c r="W8" s="11" t="n">
        <x:v>47208</x:v>
      </x:c>
      <x:c r="X8" s="11" t="n">
        <x:v>47299</x:v>
      </x:c>
      <x:c r="Y8" s="11" t="n">
        <x:v>47391</x:v>
      </x:c>
      <x:c r="Z8" s="11" t="n">
        <x:v>47483</x:v>
      </x:c>
      <x:c r="AA8" s="11" t="n">
        <x:v>47573</x:v>
      </x:c>
      <x:c r="AB8" s="11" t="n">
        <x:v>47664</x:v>
      </x:c>
      <x:c r="AC8" s="11" t="n">
        <x:v>47756</x:v>
      </x:c>
      <x:c r="AD8" s="11" t="n">
        <x:v>47848</x:v>
      </x:c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Sponsor equity invested</x:v>
      </x:c>
      <x:c r="D10" s="2" t="n">
        <x:f>'Sources &amp; Uses'!D31</x:f>
        <x:v>2521.5140000000006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20" customHeight="1">
      <x:c r="A11" s="2"/>
      <x:c r="B11" s="2"/>
      <x:c r="C11" s="2" t="str">
        <x:v>Entry enterprise value</x:v>
      </x:c>
      <x:c r="D11" s="2" t="n">
        <x:f>'Sources &amp; Uses'!D10</x:f>
        <x:v>4806.000000000001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20" customHeight="1">
      <x:c r="A13" s="2"/>
      <x:c r="B13" s="2"/>
      <x:c r="C13" s="2" t="str">
        <x:v>Exit EBITDA</x:v>
      </x:c>
      <x:c r="D13" s="2" t="n">
        <x:f>SUM('Operating Case'!AA28:AD28)</x:f>
        <x:v>639.8498291603161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20" customHeight="1">
      <x:c r="A14" s="2"/>
      <x:c r="B14" s="2"/>
      <x:c r="C14" s="2" t="str">
        <x:v>Exit enterprise value</x:v>
      </x:c>
      <x:c r="D14" s="2" t="n">
        <x:f>D13*'Assumptions'!D11</x:f>
        <x:v>5758.648462442845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0" customHeight="1">
      <x:c r="A15" s="2"/>
      <x:c r="B15" s="2"/>
      <x:c r="C15" s="2" t="str">
        <x:v>Exit debt principal</x:v>
      </x:c>
      <x:c r="D15" s="2" t="n">
        <x:f>'Debt Schedule'!AD53</x:f>
        <x:v>1434.2146809642998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 t="str">
        <x:v>Distributable excess cash</x:v>
      </x:c>
      <x:c r="D16" s="2" t="n">
        <x:f>MAX(0,'Debt Schedule'!AD38-'Sources &amp; Uses'!D22)</x:f>
        <x:v>7.105427357601002e-15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20" customHeight="1">
      <x:c r="A17" s="2"/>
      <x:c r="B17" s="2"/>
      <x:c r="C17" s="2" t="str">
        <x:v>Retained pension deficit</x:v>
      </x:c>
      <x:c r="D17" s="2" t="n">
        <x:f>'Historical &amp; Sources'!F68</x:f>
        <x:v>38.8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0" customHeight="1">
      <x:c r="A18" s="2"/>
      <x:c r="B18" s="2"/>
      <x:c r="C18" s="2" t="str">
        <x:v>Exit transaction fees</x:v>
      </x:c>
      <x:c r="D18" s="2" t="n">
        <x:f>D14*'Assumptions'!D18</x:f>
        <x:v>86.37972693664267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0" customHeight="1">
      <x:c r="A19" s="2"/>
      <x:c r="B19" s="2"/>
      <x:c r="C19" s="2" t="str">
        <x:v>Unfloored exit equity</x:v>
      </x:c>
      <x:c r="D19" s="2" t="n">
        <x:f>D14-D15+D16-D17-D18</x:f>
        <x:v>4199.254054541902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20" customHeight="1">
      <x:c r="A20" s="2"/>
      <x:c r="B20" s="2"/>
      <x:c r="C20" s="2" t="str">
        <x:v>Sponsor proceeds</x:v>
      </x:c>
      <x:c r="D20" s="2" t="n">
        <x:f>MAX(0,D19)</x:f>
        <x:v>4199.254054541902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0" customHeight="1">
      <x:c r="A22" s="2"/>
      <x:c r="B22" s="2"/>
      <x:c r="C22" s="2" t="str">
        <x:v>Maximum funding shortfall</x:v>
      </x:c>
      <x:c r="D22" s="2" t="n">
        <x:f>MAX('Debt Schedule'!K39:AD39)</x:f>
        <x:v>0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 t="str">
        <x:v>Sponsor MOIC</x:v>
      </x:c>
      <x:c r="D24" s="14" t="n">
        <x:f>IF(OR(D22&gt;0.000001,D10&lt;=0,'Assumptions'!D48&gt;0),"n.a.",D20/D10)</x:f>
        <x:v>1.6653701127742704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20" customHeight="1">
      <x:c r="A25" s="2"/>
      <x:c r="B25" s="2"/>
      <x:c r="C25" s="2" t="str">
        <x:v>Sponsor XIRR</x:v>
      </x:c>
      <x:c r="D25" s="15" t="n">
        <x:f>IF(OR(D22&gt;0.000001,D20&lt;=0,D10&lt;=0,'Assumptions'!D48&gt;0),"n.a.",XIRR(D29:D30,E29:E30))</x:f>
        <x:v>0.10733210443824522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 ht="20" customHeight="1">
      <x:c r="A29" s="2"/>
      <x:c r="B29" s="2"/>
      <x:c r="C29" s="2" t="str">
        <x:v>Sponsor contribution</x:v>
      </x:c>
      <x:c r="D29" s="2" t="n">
        <x:f>-D10</x:f>
        <x:v>-2521.5140000000006</x:v>
      </x:c>
      <x:c r="E29" s="24" t="n">
        <x:v>46022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 ht="20" customHeight="1">
      <x:c r="A30" s="2"/>
      <x:c r="B30" s="2"/>
      <x:c r="C30" s="2" t="str">
        <x:v>Exit distribution</x:v>
      </x:c>
      <x:c r="D30" s="2" t="n">
        <x:f>D20</x:f>
        <x:v>4199.254054541902</x:v>
      </x:c>
      <x:c r="E30" s="24" t="n">
        <x:v>47848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 ht="23" customHeight="1">
      <x:c r="A33" s="2"/>
      <x:c r="B33" s="2"/>
      <x:c r="C33" s="23" t="str">
        <x:v>Equity value creation bridge</x:v>
      </x:c>
      <x:c r="D33" s="23"/>
      <x:c r="E33" s="23"/>
      <x:c r="F33" s="23"/>
      <x:c r="G33" s="23"/>
      <x:c r="H33" s="23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 ht="20" customHeight="1">
      <x:c r="A34" s="2"/>
      <x:c r="B34" s="2"/>
      <x:c r="C34" s="2" t="str">
        <x:v>Initial sponsor equity</x:v>
      </x:c>
      <x:c r="D34" s="2" t="n">
        <x:f>'Sources &amp; Uses'!D31</x:f>
        <x:v>2521.5140000000006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 ht="20" customHeight="1">
      <x:c r="A35" s="2"/>
      <x:c r="B35" s="2"/>
      <x:c r="C35" s="2" t="str">
        <x:v>EBITDA growth at entry multiple</x:v>
      </x:c>
      <x:c r="D35" s="2" t="n">
        <x:f>(D13-'Historical &amp; Sources'!D97)*'Assumptions'!D10</x:f>
        <x:v>952.6484624428435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 ht="20" customHeight="1">
      <x:c r="A36" s="2"/>
      <x:c r="B36" s="2"/>
      <x:c r="C36" s="2" t="str">
        <x:v>Exit multiple change</x:v>
      </x:c>
      <x:c r="D36" s="2" t="n">
        <x:f>D13*('Assumptions'!D11-'Assumptions'!D10)</x:f>
        <x:v>0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 ht="20" customHeight="1">
      <x:c r="A37" s="2"/>
      <x:c r="B37" s="2"/>
      <x:c r="C37" s="2" t="str">
        <x:v>Debt principal reduction</x:v>
      </x:c>
      <x:c r="D37" s="2" t="n">
        <x:f>'Sources &amp; Uses'!D28+'Sources &amp; Uses'!D29+'Closing Bridge'!D31-D15</x:f>
        <x:v>1018.7103190357009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 ht="20" customHeight="1">
      <x:c r="A38" s="2"/>
      <x:c r="B38" s="2"/>
      <x:c r="C38" s="2" t="str">
        <x:v>Excess cash accumulation</x:v>
      </x:c>
      <x:c r="D38" s="2" t="n">
        <x:f>D16</x:f>
        <x:v>7.105427357601002e-15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 ht="20" customHeight="1">
      <x:c r="A39" s="2"/>
      <x:c r="B39" s="2"/>
      <x:c r="C39" s="2" t="str">
        <x:v>Entry fees and retained cash</x:v>
      </x:c>
      <x:c r="D39" s="2" t="n">
        <x:f>-'Sources &amp; Uses'!D19-'Sources &amp; Uses'!D20-'Sources &amp; Uses'!D21-'Sources &amp; Uses'!D22</x:f>
        <x:v>-207.23900000000003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 ht="20" customHeight="1">
      <x:c r="A40" s="2"/>
      <x:c r="B40" s="2"/>
      <x:c r="C40" s="2" t="str">
        <x:v>Exit transaction fees</x:v>
      </x:c>
      <x:c r="D40" s="2" t="n">
        <x:f>-D18</x:f>
        <x:v>-86.37972693664267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 ht="20" customHeight="1">
      <x:c r="A42" s="2"/>
      <x:c r="B42" s="2"/>
      <x:c r="C42" s="2" t="str">
        <x:v>Unfloored exit equity</x:v>
      </x:c>
      <x:c r="D42" s="2" t="n">
        <x:f>SUM(D34:D40)</x:f>
        <x:v>4199.254054541903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 ht="32" customHeight="1">
      <x:c r="A45" s="2"/>
      <x:c r="B45" s="2"/>
      <x:c r="C45" s="13" t="str">
        <x:v>Annualized XIRR: actual cash-flow dates / 365. No interim dividends. Zero proceeds: MOIC 0; XIRR unavailable.</x:v>
      </x:c>
      <x:c r="D45" s="13"/>
      <x:c r="E45" s="13"/>
      <x:c r="F45" s="13"/>
      <x:c r="G45" s="13"/>
      <x:c r="H45" s="13"/>
      <x:c r="I45" s="13"/>
      <x:c r="J45" s="13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 ht="32" customHeight="1">
      <x:c r="A47" s="2"/>
      <x:c r="B47" s="2"/>
      <x:c r="C47" s="13" t="str">
        <x:v>Any minimum-cash shortfall makes funded MOIC/XIRR unavailable. Subsequent periods are diagnostic projections only.</x:v>
      </x:c>
      <x:c r="D47" s="13"/>
      <x:c r="E47" s="13"/>
      <x:c r="F47" s="13"/>
      <x:c r="G47" s="13"/>
      <x:c r="H47" s="13"/>
      <x:c r="I47" s="13"/>
      <x:c r="J47" s="13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 ht="20" customHeight="1">
      <x:c r="A50" s="2"/>
      <x:c r="B50" s="2"/>
      <x:c r="C50" s="2" t="str">
        <x:v>Gross leverage</x:v>
      </x:c>
      <x:c r="D50" s="14" t="n">
        <x:f>N50</x:f>
        <x:v>4.64190250229446</x:v>
      </x:c>
      <x:c r="E50" s="14" t="n">
        <x:f>R50</x:f>
        <x:v>4.234435678465337</x:v>
      </x:c>
      <x:c r="F50" s="14" t="n">
        <x:f>V50</x:f>
        <x:v>3.5688592386447886</x:v>
      </x:c>
      <x:c r="G50" s="14" t="n">
        <x:f>Z50</x:f>
        <x:v>2.900185844839583</x:v>
      </x:c>
      <x:c r="H50" s="14" t="n">
        <x:f>AD50</x:f>
        <x:v>2.241486385714035</x:v>
      </x:c>
      <x:c r="I50" s="14"/>
      <x:c r="J50" s="14"/>
      <x:c r="K50" s="14" t="n">
        <x:f>IF(SUM('Operating Case'!K28:N28)&gt;0,'Debt Schedule'!K53/SUM('Operating Case'!K28:N28),"n.a.")</x:f>
        <x:v>4.81132982579278</x:v>
      </x:c>
      <x:c r="L50" s="14" t="n">
        <x:f>IF(SUM('Operating Case'!K28:N28)&gt;0,'Debt Schedule'!L53/SUM('Operating Case'!K28:N28),"n.a.")</x:f>
        <x:v>4.818174634722217</x:v>
      </x:c>
      <x:c r="M50" s="14" t="n">
        <x:f>IF(SUM('Operating Case'!K28:N28)&gt;0,'Debt Schedule'!M53/SUM('Operating Case'!K28:N28),"n.a.")</x:f>
        <x:v>4.818843024679936</x:v>
      </x:c>
      <x:c r="N50" s="14" t="n">
        <x:f>IF(SUM('Operating Case'!K28:N28)&gt;0,'Debt Schedule'!N53/SUM('Operating Case'!K28:N28),"n.a.")</x:f>
        <x:v>4.64190250229446</x:v>
      </x:c>
      <x:c r="O50" s="14" t="n">
        <x:f>IF(SUM('Operating Case'!O28:R28)&gt;0,'Debt Schedule'!O53/SUM('Operating Case'!O28:R28),"n.a.")</x:f>
        <x:v>4.447283339454452</x:v>
      </x:c>
      <x:c r="P50" s="14" t="n">
        <x:f>IF(SUM('Operating Case'!O28:R28)&gt;0,'Debt Schedule'!P53/SUM('Operating Case'!O28:R28),"n.a.")</x:f>
        <x:v>4.440010860784526</x:v>
      </x:c>
      <x:c r="Q50" s="14" t="n">
        <x:f>IF(SUM('Operating Case'!O28:R28)&gt;0,'Debt Schedule'!Q53/SUM('Operating Case'!O28:R28),"n.a.")</x:f>
        <x:v>4.425479145667473</x:v>
      </x:c>
      <x:c r="R50" s="14" t="n">
        <x:f>IF(SUM('Operating Case'!O28:R28)&gt;0,'Debt Schedule'!R53/SUM('Operating Case'!O28:R28),"n.a.")</x:f>
        <x:v>4.234435678465337</x:v>
      </x:c>
      <x:c r="S50" s="14" t="n">
        <x:f>IF(SUM('Operating Case'!S28:V28)&gt;0,'Debt Schedule'!S53/SUM('Operating Case'!S28:V28),"n.a.")</x:f>
        <x:v>3.831339679986972</x:v>
      </x:c>
      <x:c r="T50" s="14" t="n">
        <x:f>IF(SUM('Operating Case'!S28:V28)&gt;0,'Debt Schedule'!T53/SUM('Operating Case'!S28:V28),"n.a.")</x:f>
        <x:v>3.8102495369299154</x:v>
      </x:c>
      <x:c r="U50" s="14" t="n">
        <x:f>IF(SUM('Operating Case'!S28:V28)&gt;0,'Debt Schedule'!U53/SUM('Operating Case'!S28:V28),"n.a.")</x:f>
        <x:v>3.7718399086511507</x:v>
      </x:c>
      <x:c r="V50" s="14" t="n">
        <x:f>IF(SUM('Operating Case'!S28:V28)&gt;0,'Debt Schedule'!V53/SUM('Operating Case'!S28:V28),"n.a.")</x:f>
        <x:v>3.5688592386447886</x:v>
      </x:c>
      <x:c r="W50" s="14" t="n">
        <x:f>IF(SUM('Operating Case'!W28:Z28)&gt;0,'Debt Schedule'!W53/SUM('Operating Case'!W28:Z28),"n.a.")</x:f>
        <x:v>3.223172315588719</x:v>
      </x:c>
      <x:c r="X50" s="14" t="n">
        <x:f>IF(SUM('Operating Case'!W28:Z28)&gt;0,'Debt Schedule'!X53/SUM('Operating Case'!W28:Z28),"n.a.")</x:f>
        <x:v>3.1752897130213564</x:v>
      </x:c>
      <x:c r="Y50" s="14" t="n">
        <x:f>IF(SUM('Operating Case'!W28:Z28)&gt;0,'Debt Schedule'!Y53/SUM('Operating Case'!W28:Z28),"n.a.")</x:f>
        <x:v>3.1164086611735122</x:v>
      </x:c>
      <x:c r="Z50" s="14" t="n">
        <x:f>IF(SUM('Operating Case'!W28:Z28)&gt;0,'Debt Schedule'!Z53/SUM('Operating Case'!W28:Z28),"n.a.")</x:f>
        <x:v>2.900185844839583</x:v>
      </x:c>
      <x:c r="AA50" s="14" t="n">
        <x:f>IF(SUM('Operating Case'!AA28:AD28)&gt;0,'Debt Schedule'!AA53/SUM('Operating Case'!AA28:AD28),"n.a.")</x:f>
        <x:v>2.6072503007181345</x:v>
      </x:c>
      <x:c r="AB50" s="14" t="n">
        <x:f>IF(SUM('Operating Case'!AA28:AD28)&gt;0,'Debt Schedule'!AB53/SUM('Operating Case'!AA28:AD28),"n.a.")</x:f>
        <x:v>2.543632300166678</x:v>
      </x:c>
      <x:c r="AC50" s="14" t="n">
        <x:f>IF(SUM('Operating Case'!AA28:AD28)&gt;0,'Debt Schedule'!AC53/SUM('Operating Case'!AA28:AD28),"n.a.")</x:f>
        <x:v>2.468061582200971</x:v>
      </x:c>
      <x:c r="AD50" s="14" t="n">
        <x:f>IF(SUM('Operating Case'!AA28:AD28)&gt;0,'Debt Schedule'!AD53/SUM('Operating Case'!AA28:AD28),"n.a.")</x:f>
        <x:v>2.241486385714035</x:v>
      </x:c>
    </x:row>
    <x:row r="51" ht="20" customHeight="1">
      <x:c r="A51" s="2"/>
      <x:c r="B51" s="2"/>
      <x:c r="C51" s="2" t="str">
        <x:v>Net leverage</x:v>
      </x:c>
      <x:c r="D51" s="14" t="n">
        <x:f>N51</x:f>
        <x:v>4.525335275646496</x:v>
      </x:c>
      <x:c r="E51" s="14" t="n">
        <x:f>R51</x:f>
        <x:v>4.120702393491897</x:v>
      </x:c>
      <x:c r="F51" s="14" t="n">
        <x:f>V51</x:f>
        <x:v>3.4629520201242716</x:v>
      </x:c>
      <x:c r="G51" s="14" t="n">
        <x:f>Z51</x:f>
        <x:v>2.801397347441945</x:v>
      </x:c>
      <x:c r="H51" s="14" t="n">
        <x:f>AD51</x:f>
        <x:v>2.149192854781164</x:v>
      </x:c>
      <x:c r="I51" s="14"/>
      <x:c r="J51" s="14"/>
      <x:c r="K51" s="14" t="n">
        <x:f>IF(SUM('Operating Case'!K28:N28)&gt;0,('Debt Schedule'!K53-'Debt Schedule'!K38)/SUM('Operating Case'!K28:N28),"n.a.")</x:f>
        <x:v>4.6947625991448145</x:v>
      </x:c>
      <x:c r="L51" s="14" t="n">
        <x:f>IF(SUM('Operating Case'!K28:N28)&gt;0,('Debt Schedule'!L53-'Debt Schedule'!L38)/SUM('Operating Case'!K28:N28),"n.a.")</x:f>
        <x:v>4.701607408074253</x:v>
      </x:c>
      <x:c r="M51" s="14" t="n">
        <x:f>IF(SUM('Operating Case'!K28:N28)&gt;0,('Debt Schedule'!M53-'Debt Schedule'!M38)/SUM('Operating Case'!K28:N28),"n.a.")</x:f>
        <x:v>4.7022757980319705</x:v>
      </x:c>
      <x:c r="N51" s="14" t="n">
        <x:f>IF(SUM('Operating Case'!K28:N28)&gt;0,('Debt Schedule'!N53-'Debt Schedule'!N38)/SUM('Operating Case'!K28:N28),"n.a.")</x:f>
        <x:v>4.525335275646496</x:v>
      </x:c>
      <x:c r="O51" s="14" t="n">
        <x:f>IF(SUM('Operating Case'!O28:R28)&gt;0,('Debt Schedule'!O53-'Debt Schedule'!O38)/SUM('Operating Case'!O28:R28),"n.a.")</x:f>
        <x:v>4.333550054481012</x:v>
      </x:c>
      <x:c r="P51" s="14" t="n">
        <x:f>IF(SUM('Operating Case'!O28:R28)&gt;0,('Debt Schedule'!P53-'Debt Schedule'!P38)/SUM('Operating Case'!O28:R28),"n.a.")</x:f>
        <x:v>4.326277575811087</x:v>
      </x:c>
      <x:c r="Q51" s="14" t="n">
        <x:f>IF(SUM('Operating Case'!O28:R28)&gt;0,('Debt Schedule'!Q53-'Debt Schedule'!Q38)/SUM('Operating Case'!O28:R28),"n.a.")</x:f>
        <x:v>4.3117458606940335</x:v>
      </x:c>
      <x:c r="R51" s="14" t="n">
        <x:f>IF(SUM('Operating Case'!O28:R28)&gt;0,('Debt Schedule'!R53-'Debt Schedule'!R38)/SUM('Operating Case'!O28:R28),"n.a.")</x:f>
        <x:v>4.120702393491897</x:v>
      </x:c>
      <x:c r="S51" s="14" t="n">
        <x:f>IF(SUM('Operating Case'!S28:V28)&gt;0,('Debt Schedule'!S53-'Debt Schedule'!S38)/SUM('Operating Case'!S28:V28),"n.a.")</x:f>
        <x:v>3.725432461466455</x:v>
      </x:c>
      <x:c r="T51" s="14" t="n">
        <x:f>IF(SUM('Operating Case'!S28:V28)&gt;0,('Debt Schedule'!T53-'Debt Schedule'!T38)/SUM('Operating Case'!S28:V28),"n.a.")</x:f>
        <x:v>3.704342318409399</x:v>
      </x:c>
      <x:c r="U51" s="14" t="n">
        <x:f>IF(SUM('Operating Case'!S28:V28)&gt;0,('Debt Schedule'!U53-'Debt Schedule'!U38)/SUM('Operating Case'!S28:V28),"n.a.")</x:f>
        <x:v>3.665932690130634</x:v>
      </x:c>
      <x:c r="V51" s="14" t="n">
        <x:f>IF(SUM('Operating Case'!S28:V28)&gt;0,('Debt Schedule'!V53-'Debt Schedule'!V38)/SUM('Operating Case'!S28:V28),"n.a.")</x:f>
        <x:v>3.4629520201242716</x:v>
      </x:c>
      <x:c r="W51" s="14" t="n">
        <x:f>IF(SUM('Operating Case'!W28:Z28)&gt;0,('Debt Schedule'!W53-'Debt Schedule'!W38)/SUM('Operating Case'!W28:Z28),"n.a.")</x:f>
        <x:v>3.1243838181910806</x:v>
      </x:c>
      <x:c r="X51" s="14" t="n">
        <x:f>IF(SUM('Operating Case'!W28:Z28)&gt;0,('Debt Schedule'!X53-'Debt Schedule'!X38)/SUM('Operating Case'!W28:Z28),"n.a.")</x:f>
        <x:v>3.076501215623718</x:v>
      </x:c>
      <x:c r="Y51" s="14" t="n">
        <x:f>IF(SUM('Operating Case'!W28:Z28)&gt;0,('Debt Schedule'!Y53-'Debt Schedule'!Y38)/SUM('Operating Case'!W28:Z28),"n.a.")</x:f>
        <x:v>3.0176201637758737</x:v>
      </x:c>
      <x:c r="Z51" s="14" t="n">
        <x:f>IF(SUM('Operating Case'!W28:Z28)&gt;0,('Debt Schedule'!Z53-'Debt Schedule'!Z38)/SUM('Operating Case'!W28:Z28),"n.a.")</x:f>
        <x:v>2.801397347441945</x:v>
      </x:c>
      <x:c r="AA51" s="14" t="n">
        <x:f>IF(SUM('Operating Case'!AA28:AD28)&gt;0,('Debt Schedule'!AA53-'Debt Schedule'!AA38)/SUM('Operating Case'!AA28:AD28),"n.a.")</x:f>
        <x:v>2.5149567697852633</x:v>
      </x:c>
      <x:c r="AB51" s="14" t="n">
        <x:f>IF(SUM('Operating Case'!AA28:AD28)&gt;0,('Debt Schedule'!AB53-'Debt Schedule'!AB38)/SUM('Operating Case'!AA28:AD28),"n.a.")</x:f>
        <x:v>2.4513387692338067</x:v>
      </x:c>
      <x:c r="AC51" s="14" t="n">
        <x:f>IF(SUM('Operating Case'!AA28:AD28)&gt;0,('Debt Schedule'!AC53-'Debt Schedule'!AC38)/SUM('Operating Case'!AA28:AD28),"n.a.")</x:f>
        <x:v>2.3757680512681</x:v>
      </x:c>
      <x:c r="AD51" s="14" t="n">
        <x:f>IF(SUM('Operating Case'!AA28:AD28)&gt;0,('Debt Schedule'!AD53-'Debt Schedule'!AD38)/SUM('Operating Case'!AA28:AD28),"n.a.")</x:f>
        <x:v>2.149192854781164</x:v>
      </x:c>
    </x:row>
  </x:sheetData>
  <x:mergeCells>
    <x:mergeCell ref="C45:J45"/>
    <x:mergeCell ref="C47:J47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6489AB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Sensitivities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Case selector: 1 Base / 2 Down / 3 Up</x:v>
      </x:c>
      <x:c r="D5" s="27" t="n">
        <x:v>1</x:v>
      </x:c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 t="str">
        <x:v>Entry EV / EBITDA</x:v>
      </x:c>
      <x:c r="D6" s="18" t="n">
        <x:v>9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 t="str">
        <x:v>Exit EV / EBITDA</x:v>
      </x:c>
      <x:c r="D7" s="18" t="n">
        <x:v>9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 t="str">
        <x:v>Reference-rate stress (absolute)</x:v>
      </x:c>
      <x:c r="D8" s="32" t="n">
        <x:v>0</x:v>
      </x:c>
      <x:c r="E8"/>
      <x:c r="F8"/>
      <x:c r="G8"/>
      <x:c r="H8"/>
      <x:c r="I8" s="2"/>
      <x:c r="J8" s="2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 ht="20" customHeight="1">
      <x:c r="A9" s="2"/>
      <x:c r="B9" s="2"/>
      <x:c r="C9" s="2" t="str">
        <x:v>Additional receivable days</x:v>
      </x:c>
      <x:c r="D9" s="27" t="n">
        <x:v>0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2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3" customHeight="1">
      <x:c r="A12" s="2"/>
      <x:c r="B12" s="2"/>
      <x:c r="C12" s="23" t="str">
        <x:v>XIRR: entry multiple (rows) / exit multiple (columns)</x:v>
      </x:c>
      <x:c r="D12" s="23"/>
      <x:c r="E12" s="23"/>
      <x:c r="F12" s="23"/>
      <x:c r="G12" s="23"/>
      <x:c r="H12" s="23"/>
      <x:c r="I12" s="23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20" customHeight="1">
      <x:c r="A14" s="2"/>
      <x:c r="B14" s="2"/>
      <x:c r="C14" s="2"/>
      <x:c r="D14" s="33" t="n">
        <x:f>'Returns'!D25</x:f>
        <x:v>0.10733210443824522</x:v>
      </x:c>
      <x:c r="E14" s="18" t="n">
        <x:v>7</x:v>
      </x:c>
      <x:c r="F14" s="18" t="n">
        <x:v>8</x:v>
      </x:c>
      <x:c r="G14" s="18" t="n">
        <x:v>9</x:v>
      </x:c>
      <x:c r="H14" s="18" t="n">
        <x:v>10</x:v>
      </x:c>
      <x:c r="I14" s="18" t="n">
        <x:v>11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0" customHeight="1">
      <x:c r="A15" s="2"/>
      <x:c r="B15" s="2"/>
      <x:c r="C15" s="2"/>
      <x:c r="D15" s="18" t="n">
        <x:v>7</x:v>
      </x:c>
      <x:c r="E15" s="15" t="n">
        <x:f t="dataTable" ref="E15:I19" dt2D="1" r1="D7" r2="D6"/>
        <x:v>0.154517151429606</x:v>
      </x:c>
      <x:c r="F15" s="15" t="n">
        <x:v>0.200239676023794</x:v>
      </x:c>
      <x:c r="G15" s="15" t="n">
        <x:v>0.239896162755488</x:v>
      </x:c>
      <x:c r="H15" s="15" t="n">
        <x:v>0.275042845176083</x:v>
      </x:c>
      <x:c r="I15" s="15" t="n">
        <x:v>0.306691546799789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/>
      <x:c r="D16" s="18" t="n">
        <x:v>8</x:v>
      </x:c>
      <x:c r="E16" s="15" t="n">
        <x:v>0.0824793611915151</x:v>
      </x:c>
      <x:c r="F16" s="15" t="n">
        <x:v>0.125348961832348</x:v>
      </x:c>
      <x:c r="G16" s="15" t="n">
        <x:v>0.162531023936206</x:v>
      </x:c>
      <x:c r="H16" s="15" t="n">
        <x:v>0.195484677580533</x:v>
      </x:c>
      <x:c r="I16" s="15" t="n">
        <x:v>0.225158612067992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20" customHeight="1">
      <x:c r="A17" s="2"/>
      <x:c r="B17" s="2"/>
      <x:c r="C17" s="2"/>
      <x:c r="D17" s="18" t="n">
        <x:v>9</x:v>
      </x:c>
      <x:c r="E17" s="15" t="n">
        <x:v>0.0310814286750123</x:v>
      </x:c>
      <x:c r="F17" s="15" t="n">
        <x:v>0.0719155088987896</x:v>
      </x:c>
      <x:c r="G17" s="15" t="n">
        <x:v>0.107332104438245</x:v>
      </x:c>
      <x:c r="H17" s="15" t="n">
        <x:v>0.138721063431657</x:v>
      </x:c>
      <x:c r="I17" s="15" t="n">
        <x:v>0.166986029825159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0" customHeight="1">
      <x:c r="A18" s="2"/>
      <x:c r="B18" s="2"/>
      <x:c r="C18" s="2"/>
      <x:c r="D18" s="18" t="n">
        <x:v>10</x:v>
      </x:c>
      <x:c r="E18" s="15" t="n">
        <x:v>-0.00845000038767463</x:v>
      </x:c>
      <x:c r="F18" s="15" t="n">
        <x:v>0.0308185104244019</x:v>
      </x:c>
      <x:c r="G18" s="15" t="n">
        <x:v>0.0648772416911891</x:v>
      </x:c>
      <x:c r="H18" s="15" t="n">
        <x:v>0.0950627550872975</x:v>
      </x:c>
      <x:c r="I18" s="15" t="n">
        <x:v>0.122244049054093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0" customHeight="1">
      <x:c r="A19" s="2"/>
      <x:c r="B19" s="2"/>
      <x:c r="C19" s="2"/>
      <x:c r="D19" s="18" t="n">
        <x:v>11</x:v>
      </x:c>
      <x:c r="E19" s="15" t="n">
        <x:v>-0.0403345584935155</x:v>
      </x:c>
      <x:c r="F19" s="15" t="n">
        <x:v>-0.0023287768581894</x:v>
      </x:c>
      <x:c r="G19" s="15" t="n">
        <x:v>0.0306347523547307</x:v>
      </x:c>
      <x:c r="H19" s="15" t="n">
        <x:v>0.0598496119701834</x:v>
      </x:c>
      <x:c r="I19" s="15" t="n">
        <x:v>0.0861568566734879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3" customHeight="1">
      <x:c r="A22" s="2"/>
      <x:c r="B22" s="2"/>
      <x:c r="C22" s="23" t="str">
        <x:v>MOIC: entry multiple (rows) / exit multiple (columns)</x:v>
      </x:c>
      <x:c r="D22" s="23"/>
      <x:c r="E22" s="23"/>
      <x:c r="F22" s="23"/>
      <x:c r="G22" s="23"/>
      <x:c r="H22" s="23"/>
      <x:c r="I22" s="23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/>
      <x:c r="D24" s="17" t="n">
        <x:f>'Returns'!D24</x:f>
        <x:v>1.6653701127742704</x:v>
      </x:c>
      <x:c r="E24" s="18" t="n">
        <x:v>7</x:v>
      </x:c>
      <x:c r="F24" s="18" t="n">
        <x:v>8</x:v>
      </x:c>
      <x:c r="G24" s="18" t="n">
        <x:v>9</x:v>
      </x:c>
      <x:c r="H24" s="18" t="n">
        <x:v>10</x:v>
      </x:c>
      <x:c r="I24" s="18" t="n">
        <x:v>11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20" customHeight="1">
      <x:c r="A25" s="2"/>
      <x:c r="B25" s="2"/>
      <x:c r="C25" s="2"/>
      <x:c r="D25" s="18" t="n">
        <x:v>7</x:v>
      </x:c>
      <x:c r="E25" s="14" t="n">
        <x:f t="dataTable" ref="E25:I29" dt2D="1" r1="D7" r2="D6"/>
        <x:v>2.05197897090402</x:v>
      </x:c>
      <x:c r="F25" s="14" t="n">
        <x:v>2.49205181343556</x:v>
      </x:c>
      <x:c r="G25" s="14" t="n">
        <x:v>2.9321246559671</x:v>
      </x:c>
      <x:c r="H25" s="14" t="n">
        <x:v>3.37219749849863</x:v>
      </x:c>
      <x:c r="I25" s="14" t="n">
        <x:v>3.81227034103017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20" customHeight="1">
      <x:c r="A26" s="2"/>
      <x:c r="B26" s="2"/>
      <x:c r="C26" s="2"/>
      <x:c r="D26" s="18" t="n">
        <x:v>8</x:v>
      </x:c>
      <x:c r="E26" s="14" t="n">
        <x:v>1.48659416577016</x:v>
      </x:c>
      <x:c r="F26" s="14" t="n">
        <x:v>1.8054130861868</x:v>
      </x:c>
      <x:c r="G26" s="14" t="n">
        <x:v>2.12423200660344</x:v>
      </x:c>
      <x:c r="H26" s="14" t="n">
        <x:v>2.44305092702008</x:v>
      </x:c>
      <x:c r="I26" s="14" t="n">
        <x:v>2.76186984743672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20" customHeight="1">
      <x:c r="A27" s="2"/>
      <x:c r="B27" s="2"/>
      <x:c r="C27" s="2"/>
      <x:c r="D27" s="18" t="n">
        <x:v>9</x:v>
      </x:c>
      <x:c r="E27" s="14" t="n">
        <x:v>1.1654703844976</x:v>
      </x:c>
      <x:c r="F27" s="14" t="n">
        <x:v>1.41542024863593</x:v>
      </x:c>
      <x:c r="G27" s="14" t="n">
        <x:v>1.66537011277427</x:v>
      </x:c>
      <x:c r="H27" s="14" t="n">
        <x:v>1.91531997691261</x:v>
      </x:c>
      <x:c r="I27" s="14" t="n">
        <x:v>2.16526984105094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20" customHeight="1">
      <x:c r="A28" s="2"/>
      <x:c r="B28" s="2"/>
      <x:c r="C28" s="2"/>
      <x:c r="D28" s="18" t="n">
        <x:v>10</x:v>
      </x:c>
      <x:c r="E28" s="14" t="n">
        <x:v>0.95843573208221</x:v>
      </x:c>
      <x:c r="F28" s="14" t="n">
        <x:v>1.16398439655775</x:v>
      </x:c>
      <x:c r="G28" s="14" t="n">
        <x:v>1.36953306103329</x:v>
      </x:c>
      <x:c r="H28" s="14" t="n">
        <x:v>1.57508172550883</x:v>
      </x:c>
      <x:c r="I28" s="14" t="n">
        <x:v>1.78063038998437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 ht="20" customHeight="1">
      <x:c r="A29" s="2"/>
      <x:c r="B29" s="2"/>
      <x:c r="C29" s="2"/>
      <x:c r="D29" s="18" t="n">
        <x:v>11</x:v>
      </x:c>
      <x:c r="E29" s="14" t="n">
        <x:v>0.813861101521703</x:v>
      </x:c>
      <x:c r="F29" s="14" t="n">
        <x:v>0.988403907978786</x:v>
      </x:c>
      <x:c r="G29" s="14" t="n">
        <x:v>1.16294671443587</x:v>
      </x:c>
      <x:c r="H29" s="14" t="n">
        <x:v>1.33748952089295</x:v>
      </x:c>
      <x:c r="I29" s="14" t="n">
        <x:v>1.51203232735003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 ht="23" customHeight="1">
      <x:c r="A32" s="2"/>
      <x:c r="B32" s="2"/>
      <x:c r="C32" s="23" t="str">
        <x:v>XIRR: operating case (rows) / exit multiple (columns)</x:v>
      </x:c>
      <x:c r="D32" s="23"/>
      <x:c r="E32" s="23"/>
      <x:c r="F32" s="23"/>
      <x:c r="G32" s="23"/>
      <x:c r="H32" s="23"/>
      <x:c r="I32" s="23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 ht="20" customHeight="1">
      <x:c r="A34" s="2"/>
      <x:c r="B34" s="2"/>
      <x:c r="C34" s="2"/>
      <x:c r="D34" s="33" t="n">
        <x:f>'Returns'!D25</x:f>
        <x:v>0.10733210443824522</x:v>
      </x:c>
      <x:c r="E34" s="18" t="n">
        <x:v>7</x:v>
      </x:c>
      <x:c r="F34" s="18" t="n">
        <x:v>8</x:v>
      </x:c>
      <x:c r="G34" s="18" t="n">
        <x:v>9</x:v>
      </x:c>
      <x:c r="H34" s="18" t="n">
        <x:v>10</x:v>
      </x:c>
      <x:c r="I34" s="18" t="n">
        <x:v>11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 ht="20" customHeight="1">
      <x:c r="A35" s="2"/>
      <x:c r="B35" s="2"/>
      <x:c r="C35" s="2"/>
      <x:c r="D35" s="27" t="n">
        <x:v>1</x:v>
      </x:c>
      <x:c r="E35" s="15" t="n">
        <x:f t="dataTable" ref="E35:I37" dt2D="1" r1="D7" r2="D5"/>
        <x:v>0.0310814286750123</x:v>
      </x:c>
      <x:c r="F35" s="15" t="n">
        <x:v>0.0719155088987896</x:v>
      </x:c>
      <x:c r="G35" s="15" t="n">
        <x:v>0.107332104438245</x:v>
      </x:c>
      <x:c r="H35" s="15" t="n">
        <x:v>0.138721063431657</x:v>
      </x:c>
      <x:c r="I35" s="15" t="n">
        <x:v>0.166986029825159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 ht="20" customHeight="1">
      <x:c r="A36" s="2"/>
      <x:c r="B36" s="2"/>
      <x:c r="C36" s="2"/>
      <x:c r="D36" s="27" t="n">
        <x:v>2</x:v>
      </x:c>
      <x:c r="E36" s="15" t="str">
        <x:v>n.a.</x:v>
      </x:c>
      <x:c r="F36" s="15" t="str">
        <x:v>n.a.</x:v>
      </x:c>
      <x:c r="G36" s="15" t="str">
        <x:v>n.a.</x:v>
      </x:c>
      <x:c r="H36" s="15" t="str">
        <x:v>n.a.</x:v>
      </x:c>
      <x:c r="I36" s="15" t="str">
        <x:v>n.a.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 ht="20" customHeight="1">
      <x:c r="A37" s="2"/>
      <x:c r="B37" s="2"/>
      <x:c r="C37" s="2"/>
      <x:c r="D37" s="27" t="n">
        <x:v>3</x:v>
      </x:c>
      <x:c r="E37" s="15" t="n">
        <x:v>0.153135828715383</x:v>
      </x:c>
      <x:c r="F37" s="15" t="n">
        <x:v>0.18865597985794</x:v>
      </x:c>
      <x:c r="G37" s="15" t="n">
        <x:v>0.220374602251292</x:v>
      </x:c>
      <x:c r="H37" s="15" t="n">
        <x:v>0.249100181373318</x:v>
      </x:c>
      <x:c r="I37" s="15" t="n">
        <x:v>0.275401735669145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 ht="23" customHeight="1">
      <x:c r="A40" s="2"/>
      <x:c r="B40" s="2"/>
      <x:c r="C40" s="23" t="str">
        <x:v>MOIC: operating case (rows) / exit multiple (columns)</x:v>
      </x:c>
      <x:c r="D40" s="23"/>
      <x:c r="E40" s="23"/>
      <x:c r="F40" s="23"/>
      <x:c r="G40" s="23"/>
      <x:c r="H40" s="23"/>
      <x:c r="I40" s="23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 ht="20" customHeight="1">
      <x:c r="A42" s="2"/>
      <x:c r="B42" s="2"/>
      <x:c r="C42" s="2"/>
      <x:c r="D42" s="17" t="n">
        <x:f>'Returns'!D24</x:f>
        <x:v>1.6653701127742704</x:v>
      </x:c>
      <x:c r="E42" s="18" t="n">
        <x:v>7</x:v>
      </x:c>
      <x:c r="F42" s="18" t="n">
        <x:v>8</x:v>
      </x:c>
      <x:c r="G42" s="18" t="n">
        <x:v>9</x:v>
      </x:c>
      <x:c r="H42" s="18" t="n">
        <x:v>10</x:v>
      </x:c>
      <x:c r="I42" s="18" t="n">
        <x:v>11</x:v>
      </x:c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 ht="20" customHeight="1">
      <x:c r="A43" s="2"/>
      <x:c r="B43" s="2"/>
      <x:c r="C43" s="2"/>
      <x:c r="D43" s="27" t="n">
        <x:v>1</x:v>
      </x:c>
      <x:c r="E43" s="14" t="n">
        <x:f t="dataTable" ref="E43:I45" dt2D="1" r1="D7" r2="D5"/>
        <x:v>1.1654703844976</x:v>
      </x:c>
      <x:c r="F43" s="14" t="n">
        <x:v>1.41542024863593</x:v>
      </x:c>
      <x:c r="G43" s="14" t="n">
        <x:v>1.66537011277427</x:v>
      </x:c>
      <x:c r="H43" s="14" t="n">
        <x:v>1.91531997691261</x:v>
      </x:c>
      <x:c r="I43" s="14" t="n">
        <x:v>2.16526984105094</x:v>
      </x:c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 ht="20" customHeight="1">
      <x:c r="A44" s="2"/>
      <x:c r="B44" s="2"/>
      <x:c r="C44" s="2"/>
      <x:c r="D44" s="27" t="n">
        <x:v>2</x:v>
      </x:c>
      <x:c r="E44" s="14" t="str">
        <x:v>n.a.</x:v>
      </x:c>
      <x:c r="F44" s="14" t="str">
        <x:v>n.a.</x:v>
      </x:c>
      <x:c r="G44" s="14" t="str">
        <x:v>n.a.</x:v>
      </x:c>
      <x:c r="H44" s="14" t="str">
        <x:v>n.a.</x:v>
      </x:c>
      <x:c r="I44" s="14" t="str">
        <x:v>n.a.</x:v>
      </x:c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 ht="20" customHeight="1">
      <x:c r="A45" s="2"/>
      <x:c r="B45" s="2"/>
      <x:c r="C45" s="2"/>
      <x:c r="D45" s="27" t="n">
        <x:v>3</x:v>
      </x:c>
      <x:c r="E45" s="14" t="n">
        <x:v>2.03972616246981</x:v>
      </x:c>
      <x:c r="F45" s="14" t="n">
        <x:v>2.37403179490698</x:v>
      </x:c>
      <x:c r="G45" s="14" t="n">
        <x:v>2.70833742734415</x:v>
      </x:c>
      <x:c r="H45" s="14" t="n">
        <x:v>3.04264305978133</x:v>
      </x:c>
      <x:c r="I45" s="14" t="n">
        <x:v>3.3769486922185</x:v>
      </x:c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 ht="23" customHeight="1">
      <x:c r="A48" s="2"/>
      <x:c r="B48" s="2"/>
      <x:c r="C48" s="23" t="str">
        <x:v>Liquidity gap: rate stress (rows) / extra DSO (columns)</x:v>
      </x:c>
      <x:c r="D48" s="23"/>
      <x:c r="E48" s="23"/>
      <x:c r="F48" s="23"/>
      <x:c r="G48" s="23"/>
      <x:c r="H48" s="23"/>
      <x:c r="I48" s="23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 ht="20" customHeight="1">
      <x:c r="A50" s="2"/>
      <x:c r="B50" s="2"/>
      <x:c r="C50" s="2"/>
      <x:c r="D50" s="9" t="n">
        <x:f>'Returns'!D22</x:f>
        <x:v>0</x:v>
      </x:c>
      <x:c r="E50" s="27" t="n">
        <x:v>0</x:v>
      </x:c>
      <x:c r="F50" s="27" t="n">
        <x:v>5</x:v>
      </x:c>
      <x:c r="G50" s="27" t="n">
        <x:v>10</x:v>
      </x:c>
      <x:c r="H50" s="27" t="n">
        <x:v>15</x:v>
      </x:c>
      <x:c r="I50" s="27" t="n">
        <x:v>20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 ht="20" customHeight="1">
      <x:c r="A51" s="2"/>
      <x:c r="B51" s="2"/>
      <x:c r="C51" s="2"/>
      <x:c r="D51" s="19" t="n">
        <x:v>0</x:v>
      </x:c>
      <x:c r="E51" s="2" t="n">
        <x:f t="dataTable" ref="E51:I53" dt2D="1" r1="D9" r2="D8"/>
        <x:v>0</x:v>
      </x:c>
      <x:c r="F51" s="2" t="n">
        <x:v>0</x:v>
      </x:c>
      <x:c r="G51" s="2" t="n">
        <x:v>0</x:v>
      </x:c>
      <x:c r="H51" s="2" t="n">
        <x:v>0</x:v>
      </x:c>
      <x:c r="I51" s="2" t="n">
        <x:v>0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 ht="20" customHeight="1">
      <x:c r="A52" s="2"/>
      <x:c r="B52" s="2"/>
      <x:c r="C52" s="2"/>
      <x:c r="D52" s="19" t="n">
        <x:v>0.01</x:v>
      </x:c>
      <x:c r="E52" s="2" t="n">
        <x:v>0</x:v>
      </x:c>
      <x:c r="F52" s="2" t="n">
        <x:v>0</x:v>
      </x:c>
      <x:c r="G52" s="2" t="n">
        <x:v>0</x:v>
      </x:c>
      <x:c r="H52" s="2" t="n">
        <x:v>0</x:v>
      </x:c>
      <x:c r="I52" s="2" t="n">
        <x:v>0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 ht="20" customHeight="1">
      <x:c r="A53" s="2"/>
      <x:c r="B53" s="2"/>
      <x:c r="C53" s="2"/>
      <x:c r="D53" s="19" t="n">
        <x:v>0.02</x:v>
      </x:c>
      <x:c r="E53" s="2" t="n">
        <x:v>0</x:v>
      </x:c>
      <x:c r="F53" s="2" t="n">
        <x:v>0</x:v>
      </x:c>
      <x:c r="G53" s="2" t="n">
        <x:v>0</x:v>
      </x:c>
      <x:c r="H53" s="2" t="n">
        <x:v>0</x:v>
      </x:c>
      <x:c r="I53" s="2" t="n">
        <x:v>0</x:v>
      </x:c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 ht="32" customHeight="1">
      <x:c r="A56" s="2"/>
      <x:c r="B56" s="2"/>
      <x:c r="C56" s="13" t="str">
        <x:v>Native Excel What-If tables rerun this model. Use Automatic calculation, including data tables. n.a. = unfunded case.</x:v>
      </x:c>
      <x:c r="D56" s="13"/>
      <x:c r="E56" s="13"/>
      <x:c r="F56" s="13"/>
      <x:c r="G56" s="13"/>
      <x:c r="H56" s="13"/>
      <x:c r="I56" s="13"/>
      <x:c r="J56" s="13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 ht="32" customHeight="1">
      <x:c r="A58" s="2"/>
      <x:c r="B58" s="2"/>
      <x:c r="C58" s="13" t="str">
        <x:v>Controls are here because Excel data-table input cells must be on the same worksheet. Other inputs: Assumptions.</x:v>
      </x:c>
      <x:c r="D58" s="13"/>
      <x:c r="E58" s="13"/>
      <x:c r="F58" s="13"/>
      <x:c r="G58" s="13"/>
      <x:c r="H58" s="13"/>
      <x:c r="I58" s="13"/>
      <x:c r="J58" s="13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</x:sheetData>
  <x:mergeCells>
    <x:mergeCell ref="C56:J56"/>
    <x:mergeCell ref="C58:J58"/>
  </x:mergeCells>
  <x:dataValidations count="1">
    <x:dataValidation type="whole" operator="between" sqref="D5">
      <x:formula1>1</x:formula1>
      <x:formula2>3</x:formula2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5" hidden="0" customWidth="1"/>
    <x:col min="9" max="9" width="58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Historical &amp; Sources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/>
      <x:c r="D5" s="2"/>
      <x:c r="E5" s="10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 s="8" t="str">
        <x:v>FY:23</x:v>
      </x:c>
      <x:c r="E8" s="8" t="str">
        <x:v>FY:24</x:v>
      </x:c>
      <x:c r="F8" s="8" t="str">
        <x:v>FY:25</x:v>
      </x:c>
      <x:c r="G8" s="8" t="n">
        <x:v>2029</x:v>
      </x:c>
      <x:c r="H8" s="8" t="str">
        <x:v>Source ID</x:v>
      </x:c>
      <x:c r="I8" s="2" t="str">
        <x:v>Source location</x:v>
      </x:c>
      <x:c r="J8" s="2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revenue</x:v>
      </x:c>
      <x:c r="D10" s="16" t="n">
        <x:v>2959.7</x:v>
      </x:c>
      <x:c r="E10" s="16" t="n">
        <x:v>2887</x:v>
      </x:c>
      <x:c r="F10" s="16" t="n">
        <x:v>2952.7</x:v>
      </x:c>
      <x:c r="G10" s="2"/>
      <x:c r="H10" s="2" t="str">
        <x:v>ENR_2025_10K</x:v>
      </x:c>
      <x:c r="I10" s="2" t="str">
        <x:v>p60; Consolidated Statements of Earnings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20" customHeight="1">
      <x:c r="A11" s="2"/>
      <x:c r="B11" s="2"/>
      <x:c r="C11" s="2" t="str">
        <x:v>cogs</x:v>
      </x:c>
      <x:c r="D11" s="16" t="n">
        <x:v>1835.7</x:v>
      </x:c>
      <x:c r="E11" s="16" t="n">
        <x:v>1782.7</x:v>
      </x:c>
      <x:c r="F11" s="16" t="n">
        <x:v>1720</x:v>
      </x:c>
      <x:c r="G11" s="2"/>
      <x:c r="H11" s="2" t="str">
        <x:v>ENR_2025_10K</x:v>
      </x:c>
      <x:c r="I11" s="2" t="str">
        <x:v>p60; Consolidated Statements of Earnings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0" customHeight="1">
      <x:c r="A12" s="2"/>
      <x:c r="B12" s="2"/>
      <x:c r="C12" s="2" t="str">
        <x:v>gross profit</x:v>
      </x:c>
      <x:c r="D12" s="16" t="n">
        <x:v>1124</x:v>
      </x:c>
      <x:c r="E12" s="16" t="n">
        <x:v>1104.3</x:v>
      </x:c>
      <x:c r="F12" s="16" t="n">
        <x:v>1232.7</x:v>
      </x:c>
      <x:c r="G12" s="2"/>
      <x:c r="H12" s="2" t="str">
        <x:v>ENR_2025_10K</x:v>
      </x:c>
      <x:c r="I12" s="2" t="str">
        <x:v>p60; Consolidated Statements of Earnings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20" customHeight="1">
      <x:c r="A13" s="2"/>
      <x:c r="B13" s="2"/>
      <x:c r="C13" s="2" t="str">
        <x:v>sga</x:v>
      </x:c>
      <x:c r="D13" s="16" t="n">
        <x:v>489.4</x:v>
      </x:c>
      <x:c r="E13" s="16" t="n">
        <x:v>526.3</x:v>
      </x:c>
      <x:c r="F13" s="16" t="n">
        <x:v>532.4</x:v>
      </x:c>
      <x:c r="G13" s="2"/>
      <x:c r="H13" s="2" t="str">
        <x:v>ENR_2025_10K</x:v>
      </x:c>
      <x:c r="I13" s="2" t="str">
        <x:v>p60; Consolidated Statements of Earnings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20" customHeight="1">
      <x:c r="A14" s="2"/>
      <x:c r="B14" s="2"/>
      <x:c r="C14" s="2" t="str">
        <x:v>advertising</x:v>
      </x:c>
      <x:c r="D14" s="16" t="n">
        <x:v>142.3</x:v>
      </x:c>
      <x:c r="E14" s="16" t="n">
        <x:v>143.7</x:v>
      </x:c>
      <x:c r="F14" s="16" t="n">
        <x:v>151.7</x:v>
      </x:c>
      <x:c r="G14" s="2"/>
      <x:c r="H14" s="2" t="str">
        <x:v>ENR_2025_10K</x:v>
      </x:c>
      <x:c r="I14" s="2" t="str">
        <x:v>p60; Consolidated Statements of Earnings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0" customHeight="1">
      <x:c r="A15" s="2"/>
      <x:c r="B15" s="2"/>
      <x:c r="C15" s="2" t="str">
        <x:v>rd</x:v>
      </x:c>
      <x:c r="D15" s="16" t="n">
        <x:v>32.9</x:v>
      </x:c>
      <x:c r="E15" s="16" t="n">
        <x:v>31.6</x:v>
      </x:c>
      <x:c r="F15" s="16" t="n">
        <x:v>32.6</x:v>
      </x:c>
      <x:c r="G15" s="2"/>
      <x:c r="H15" s="2" t="str">
        <x:v>ENR_2025_10K</x:v>
      </x:c>
      <x:c r="I15" s="2" t="str">
        <x:v>p60; Consolidated Statements of Earnings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 t="str">
        <x:v>amortization</x:v>
      </x:c>
      <x:c r="D16" s="16" t="n">
        <x:v>59.4</x:v>
      </x:c>
      <x:c r="E16" s="16" t="n">
        <x:v>58.2</x:v>
      </x:c>
      <x:c r="F16" s="16" t="n">
        <x:v>58.7</x:v>
      </x:c>
      <x:c r="G16" s="2"/>
      <x:c r="H16" s="2" t="str">
        <x:v>ENR_2025_10K</x:v>
      </x:c>
      <x:c r="I16" s="2" t="str">
        <x:v>p60; Consolidated Statements of Earnings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20" customHeight="1">
      <x:c r="A17" s="2"/>
      <x:c r="B17" s="2"/>
      <x:c r="C17" s="2" t="str">
        <x:v>impairment</x:v>
      </x:c>
      <x:c r="D17" s="16" t="n">
        <x:v>0</x:v>
      </x:c>
      <x:c r="E17" s="16" t="n">
        <x:v>110.6</x:v>
      </x:c>
      <x:c r="F17" s="16" t="n">
        <x:v>5.9</x:v>
      </x:c>
      <x:c r="G17" s="2"/>
      <x:c r="H17" s="2" t="str">
        <x:v>ENR_2025_10K</x:v>
      </x:c>
      <x:c r="I17" s="2" t="str">
        <x:v>p60; Consolidated Statements of Earnings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0" customHeight="1">
      <x:c r="A18" s="2"/>
      <x:c r="B18" s="2"/>
      <x:c r="C18" s="2" t="str">
        <x:v>interest</x:v>
      </x:c>
      <x:c r="D18" s="16" t="n">
        <x:v>168.7</x:v>
      </x:c>
      <x:c r="E18" s="16" t="n">
        <x:v>155.7</x:v>
      </x:c>
      <x:c r="F18" s="16" t="n">
        <x:v>154.3</x:v>
      </x:c>
      <x:c r="G18" s="2"/>
      <x:c r="H18" s="2" t="str">
        <x:v>ENR_2025_10K</x:v>
      </x:c>
      <x:c r="I18" s="2" t="str">
        <x:v>p60; Consolidated Statements of Earnings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20" customHeight="1">
      <x:c r="A19" s="2"/>
      <x:c r="B19" s="2"/>
      <x:c r="C19" s="2" t="str">
        <x:v>debt extinguishment</x:v>
      </x:c>
      <x:c r="D19" s="16" t="n">
        <x:v>-1.5</x:v>
      </x:c>
      <x:c r="E19" s="16" t="n">
        <x:v>2.4</x:v>
      </x:c>
      <x:c r="F19" s="16" t="n">
        <x:v>12.1</x:v>
      </x:c>
      <x:c r="G19" s="2"/>
      <x:c r="H19" s="2" t="str">
        <x:v>ENR_2025_10K</x:v>
      </x:c>
      <x:c r="I19" s="2" t="str">
        <x:v>p60; Consolidated Statements of Earnings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20" customHeight="1">
      <x:c r="A20" s="2"/>
      <x:c r="B20" s="2"/>
      <x:c r="C20" s="2" t="str">
        <x:v>other expense</x:v>
      </x:c>
      <x:c r="D20" s="16" t="n">
        <x:v>57.1</x:v>
      </x:c>
      <x:c r="E20" s="16" t="n">
        <x:v>22</x:v>
      </x:c>
      <x:c r="F20" s="16" t="n">
        <x:v>0.9</x:v>
      </x:c>
      <x:c r="G20" s="2"/>
      <x:c r="H20" s="2" t="str">
        <x:v>ENR_2025_10K</x:v>
      </x:c>
      <x:c r="I20" s="2" t="str">
        <x:v>p60; Consolidated Statements of Earnings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20" customHeight="1">
      <x:c r="A21" s="2"/>
      <x:c r="B21" s="2"/>
      <x:c r="C21" s="2" t="str">
        <x:v>pretax</x:v>
      </x:c>
      <x:c r="D21" s="16" t="n">
        <x:v>175.7</x:v>
      </x:c>
      <x:c r="E21" s="16" t="n">
        <x:v>53.8</x:v>
      </x:c>
      <x:c r="F21" s="16" t="n">
        <x:v>284.1</x:v>
      </x:c>
      <x:c r="G21" s="2"/>
      <x:c r="H21" s="2" t="str">
        <x:v>ENR_2025_10K</x:v>
      </x:c>
      <x:c r="I21" s="2" t="str">
        <x:v>p60; Consolidated Statements of Earnings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20" customHeight="1">
      <x:c r="A22" s="2"/>
      <x:c r="B22" s="2"/>
      <x:c r="C22" s="2" t="str">
        <x:v>tax</x:v>
      </x:c>
      <x:c r="D22" s="16" t="n">
        <x:v>35.2</x:v>
      </x:c>
      <x:c r="E22" s="16" t="n">
        <x:v>15.7</x:v>
      </x:c>
      <x:c r="F22" s="16" t="n">
        <x:v>45.1</x:v>
      </x:c>
      <x:c r="G22" s="2"/>
      <x:c r="H22" s="2" t="str">
        <x:v>ENR_2025_10K</x:v>
      </x:c>
      <x:c r="I22" s="2" t="str">
        <x:v>p60; Consolidated Statements of Earnings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20" customHeight="1">
      <x:c r="A23" s="2"/>
      <x:c r="B23" s="2"/>
      <x:c r="C23" s="2" t="str">
        <x:v>net income</x:v>
      </x:c>
      <x:c r="D23" s="16" t="n">
        <x:v>140.5</x:v>
      </x:c>
      <x:c r="E23" s="16" t="n">
        <x:v>38.1</x:v>
      </x:c>
      <x:c r="F23" s="16" t="n">
        <x:v>239</x:v>
      </x:c>
      <x:c r="G23" s="2"/>
      <x:c r="H23" s="2" t="str">
        <x:v>ENR_2025_10K</x:v>
      </x:c>
      <x:c r="I23" s="2" t="str">
        <x:v>p60; Consolidated Statements of Earnings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20" customHeight="1">
      <x:c r="A24" s="2"/>
      <x:c r="B24" s="2"/>
      <x:c r="C24" s="2" t="str">
        <x:v>cash</x:v>
      </x:c>
      <x:c r="D24" s="16" t="n">
        <x:v>223.3</x:v>
      </x:c>
      <x:c r="E24" s="16" t="n">
        <x:v>216.9</x:v>
      </x:c>
      <x:c r="F24" s="16" t="n">
        <x:v>236.2</x:v>
      </x:c>
      <x:c r="G24" s="2"/>
      <x:c r="H24" s="2" t="str">
        <x:v>ENR_2025_10K</x:v>
      </x:c>
      <x:c r="I24" s="2" t="str">
        <x:v>p61; Consolidated Balance Sheets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20" customHeight="1">
      <x:c r="A25" s="2"/>
      <x:c r="B25" s="2"/>
      <x:c r="C25" s="2" t="str">
        <x:v>ar</x:v>
      </x:c>
      <x:c r="D25" s="16" t="n">
        <x:v>511.6</x:v>
      </x:c>
      <x:c r="E25" s="16" t="n">
        <x:v>441.3</x:v>
      </x:c>
      <x:c r="F25" s="16" t="n">
        <x:v>404.2</x:v>
      </x:c>
      <x:c r="G25" s="2"/>
      <x:c r="H25" s="2" t="str">
        <x:v>ENR_2025_10K</x:v>
      </x:c>
      <x:c r="I25" s="2" t="str">
        <x:v>p61; Consolidated Balance Sheets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20" customHeight="1">
      <x:c r="A26" s="2"/>
      <x:c r="B26" s="2"/>
      <x:c r="C26" s="2" t="str">
        <x:v>inventory</x:v>
      </x:c>
      <x:c r="D26" s="16" t="n">
        <x:v>649.7</x:v>
      </x:c>
      <x:c r="E26" s="16" t="n">
        <x:v>657.3</x:v>
      </x:c>
      <x:c r="F26" s="16" t="n">
        <x:v>781.2</x:v>
      </x:c>
      <x:c r="G26" s="2"/>
      <x:c r="H26" s="2" t="str">
        <x:v>ENR_2025_10K</x:v>
      </x:c>
      <x:c r="I26" s="2" t="str">
        <x:v>p61; Consolidated Balance Sheets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20" customHeight="1">
      <x:c r="A27" s="2"/>
      <x:c r="B27" s="2"/>
      <x:c r="C27" s="2" t="str">
        <x:v>other current assets</x:v>
      </x:c>
      <x:c r="D27" s="16" t="n">
        <x:v>172</x:v>
      </x:c>
      <x:c r="E27" s="16" t="n">
        <x:v>163.4</x:v>
      </x:c>
      <x:c r="F27" s="16" t="n">
        <x:v>257.5</x:v>
      </x:c>
      <x:c r="G27" s="2"/>
      <x:c r="H27" s="2" t="str">
        <x:v>ENR_2025_10K</x:v>
      </x:c>
      <x:c r="I27" s="2" t="str">
        <x:v>p61; Consolidated Balance Sheets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20" customHeight="1">
      <x:c r="A28" s="2"/>
      <x:c r="B28" s="2"/>
      <x:c r="C28" s="2" t="str">
        <x:v>current assets</x:v>
      </x:c>
      <x:c r="D28" s="16" t="n">
        <x:v>1556.6</x:v>
      </x:c>
      <x:c r="E28" s="16" t="n">
        <x:v>1478.9</x:v>
      </x:c>
      <x:c r="F28" s="16" t="n">
        <x:v>1679.1</x:v>
      </x:c>
      <x:c r="G28" s="2"/>
      <x:c r="H28" s="2" t="str">
        <x:v>ENR_2025_10K</x:v>
      </x:c>
      <x:c r="I28" s="2" t="str">
        <x:v>p61; Consolidated Balance Sheets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 ht="20" customHeight="1">
      <x:c r="A29" s="2"/>
      <x:c r="B29" s="2"/>
      <x:c r="C29" s="2" t="str">
        <x:v>ppe</x:v>
      </x:c>
      <x:c r="D29" s="16" t="n">
        <x:v>363.7</x:v>
      </x:c>
      <x:c r="E29" s="16" t="n">
        <x:v>380.1</x:v>
      </x:c>
      <x:c r="F29" s="16" t="n">
        <x:v>403</x:v>
      </x:c>
      <x:c r="G29" s="2"/>
      <x:c r="H29" s="2" t="str">
        <x:v>ENR_2025_10K</x:v>
      </x:c>
      <x:c r="I29" s="2" t="str">
        <x:v>p61; Consolidated Balance Sheets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 ht="20" customHeight="1">
      <x:c r="A30" s="2"/>
      <x:c r="B30" s="2"/>
      <x:c r="C30" s="2" t="str">
        <x:v>rou</x:v>
      </x:c>
      <x:c r="D30" s="16" t="n">
        <x:v>98.4</x:v>
      </x:c>
      <x:c r="E30" s="16" t="n">
        <x:v>94.7</x:v>
      </x:c>
      <x:c r="F30" s="16" t="n">
        <x:v>93.2</x:v>
      </x:c>
      <x:c r="G30" s="2"/>
      <x:c r="H30" s="2" t="str">
        <x:v>ENR_2025_10K</x:v>
      </x:c>
      <x:c r="I30" s="2" t="str">
        <x:v>p61; Consolidated Balance Sheets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 ht="20" customHeight="1">
      <x:c r="A31" s="2"/>
      <x:c r="B31" s="2"/>
      <x:c r="C31" s="2" t="str">
        <x:v>goodwill</x:v>
      </x:c>
      <x:c r="D31" s="16" t="n">
        <x:v>1016.2</x:v>
      </x:c>
      <x:c r="E31" s="16" t="n">
        <x:v>1046</x:v>
      </x:c>
      <x:c r="F31" s="16" t="n">
        <x:v>1051.2</x:v>
      </x:c>
      <x:c r="G31" s="2"/>
      <x:c r="H31" s="2" t="str">
        <x:v>ENR_2025_10K</x:v>
      </x:c>
      <x:c r="I31" s="2" t="str">
        <x:v>p61; Consolidated Balance Sheets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 ht="20" customHeight="1">
      <x:c r="A32" s="2"/>
      <x:c r="B32" s="2"/>
      <x:c r="C32" s="2" t="str">
        <x:v>intangibles</x:v>
      </x:c>
      <x:c r="D32" s="16" t="n">
        <x:v>1237.7</x:v>
      </x:c>
      <x:c r="E32" s="16" t="n">
        <x:v>1070.9</x:v>
      </x:c>
      <x:c r="F32" s="16" t="n">
        <x:v>1005.5</x:v>
      </x:c>
      <x:c r="G32" s="2"/>
      <x:c r="H32" s="2" t="str">
        <x:v>ENR_2025_10K</x:v>
      </x:c>
      <x:c r="I32" s="2" t="str">
        <x:v>p61; Consolidated Balance Sheets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 ht="20" customHeight="1">
      <x:c r="A33" s="2"/>
      <x:c r="B33" s="2"/>
      <x:c r="C33" s="2" t="str">
        <x:v>dta</x:v>
      </x:c>
      <x:c r="D33" s="16" t="n">
        <x:v>88.4</x:v>
      </x:c>
      <x:c r="E33" s="16" t="n">
        <x:v>145.8</x:v>
      </x:c>
      <x:c r="F33" s="16" t="n">
        <x:v>166.6</x:v>
      </x:c>
      <x:c r="G33" s="2"/>
      <x:c r="H33" s="2" t="str">
        <x:v>ENR_2025_10K</x:v>
      </x:c>
      <x:c r="I33" s="2" t="str">
        <x:v>p61; Consolidated Balance Sheets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 ht="20" customHeight="1">
      <x:c r="A34" s="2"/>
      <x:c r="B34" s="2"/>
      <x:c r="C34" s="2" t="str">
        <x:v>other assets</x:v>
      </x:c>
      <x:c r="D34" s="16" t="n">
        <x:v>148.6</x:v>
      </x:c>
      <x:c r="E34" s="16" t="n">
        <x:v>126</x:v>
      </x:c>
      <x:c r="F34" s="16" t="n">
        <x:v>158.1</x:v>
      </x:c>
      <x:c r="G34" s="2"/>
      <x:c r="H34" s="2" t="str">
        <x:v>ENR_2025_10K</x:v>
      </x:c>
      <x:c r="I34" s="2" t="str">
        <x:v>p61; Consolidated Balance Sheets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 ht="20" customHeight="1">
      <x:c r="A35" s="2"/>
      <x:c r="B35" s="2"/>
      <x:c r="C35" s="2" t="str">
        <x:v>assets</x:v>
      </x:c>
      <x:c r="D35" s="16" t="n">
        <x:v>4509.6</x:v>
      </x:c>
      <x:c r="E35" s="16" t="n">
        <x:v>4342.4</x:v>
      </x:c>
      <x:c r="F35" s="16" t="n">
        <x:v>4556.7</x:v>
      </x:c>
      <x:c r="G35" s="2"/>
      <x:c r="H35" s="2" t="str">
        <x:v>ENR_2025_10K</x:v>
      </x:c>
      <x:c r="I35" s="2" t="str">
        <x:v>p61; Consolidated Balance Sheets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 ht="20" customHeight="1">
      <x:c r="A36" s="2"/>
      <x:c r="B36" s="2"/>
      <x:c r="C36" s="2" t="str">
        <x:v>current debt</x:v>
      </x:c>
      <x:c r="D36" s="16" t="n">
        <x:v>12</x:v>
      </x:c>
      <x:c r="E36" s="16" t="n">
        <x:v>12</x:v>
      </x:c>
      <x:c r="F36" s="16" t="n">
        <x:v>8.6</x:v>
      </x:c>
      <x:c r="G36" s="2"/>
      <x:c r="H36" s="2" t="str">
        <x:v>ENR_2025_10K</x:v>
      </x:c>
      <x:c r="I36" s="2" t="str">
        <x:v>p61; Consolidated Balance Sheets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 ht="20" customHeight="1">
      <x:c r="A37" s="2"/>
      <x:c r="B37" s="2"/>
      <x:c r="C37" s="2" t="str">
        <x:v>current finance lease</x:v>
      </x:c>
      <x:c r="D37" s="16" t="n">
        <x:v>0.3</x:v>
      </x:c>
      <x:c r="E37" s="16" t="n">
        <x:v>0.6</x:v>
      </x:c>
      <x:c r="F37" s="16" t="n">
        <x:v>1.5</x:v>
      </x:c>
      <x:c r="G37" s="2"/>
      <x:c r="H37" s="2" t="str">
        <x:v>ENR_2025_10K</x:v>
      </x:c>
      <x:c r="I37" s="2" t="str">
        <x:v>p61; Consolidated Balance Sheets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 ht="20" customHeight="1">
      <x:c r="A38" s="2"/>
      <x:c r="B38" s="2"/>
      <x:c r="C38" s="2" t="str">
        <x:v>notes</x:v>
      </x:c>
      <x:c r="D38" s="16" t="n">
        <x:v>8.2</x:v>
      </x:c>
      <x:c r="E38" s="16" t="n">
        <x:v>2.1</x:v>
      </x:c>
      <x:c r="F38" s="16" t="n">
        <x:v>13.7</x:v>
      </x:c>
      <x:c r="G38" s="2"/>
      <x:c r="H38" s="2" t="str">
        <x:v>ENR_2025_10K</x:v>
      </x:c>
      <x:c r="I38" s="2" t="str">
        <x:v>p61; Consolidated Balance Sheets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 ht="20" customHeight="1">
      <x:c r="A39" s="2"/>
      <x:c r="B39" s="2"/>
      <x:c r="C39" s="2" t="str">
        <x:v>ap</x:v>
      </x:c>
      <x:c r="D39" s="16" t="n">
        <x:v>370.8</x:v>
      </x:c>
      <x:c r="E39" s="16" t="n">
        <x:v>433.1</x:v>
      </x:c>
      <x:c r="F39" s="16" t="n">
        <x:v>402.2</x:v>
      </x:c>
      <x:c r="G39" s="2"/>
      <x:c r="H39" s="2" t="str">
        <x:v>ENR_2025_10K</x:v>
      </x:c>
      <x:c r="I39" s="2" t="str">
        <x:v>p61; Consolidated Balance Sheets</x:v>
      </x:c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 ht="20" customHeight="1">
      <x:c r="A40" s="2"/>
      <x:c r="B40" s="2"/>
      <x:c r="C40" s="2" t="str">
        <x:v>current operating lease</x:v>
      </x:c>
      <x:c r="D40" s="16" t="n">
        <x:v>17.3</x:v>
      </x:c>
      <x:c r="E40" s="16" t="n">
        <x:v>18.2</x:v>
      </x:c>
      <x:c r="F40" s="16" t="n">
        <x:v>16.2</x:v>
      </x:c>
      <x:c r="G40" s="2"/>
      <x:c r="H40" s="2" t="str">
        <x:v>ENR_2025_10K</x:v>
      </x:c>
      <x:c r="I40" s="2" t="str">
        <x:v>p61; Consolidated Balance Sheets</x:v>
      </x:c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 ht="20" customHeight="1">
      <x:c r="A41" s="2"/>
      <x:c r="B41" s="2"/>
      <x:c r="C41" s="2" t="str">
        <x:v>other current liabilities</x:v>
      </x:c>
      <x:c r="D41" s="16" t="n">
        <x:v>325.6</x:v>
      </x:c>
      <x:c r="E41" s="16" t="n">
        <x:v>353.8</x:v>
      </x:c>
      <x:c r="F41" s="16" t="n">
        <x:v>352.8</x:v>
      </x:c>
      <x:c r="G41" s="2"/>
      <x:c r="H41" s="2" t="str">
        <x:v>ENR_2025_10K</x:v>
      </x:c>
      <x:c r="I41" s="2" t="str">
        <x:v>p61; Consolidated Balance Sheets</x:v>
      </x:c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 ht="20" customHeight="1">
      <x:c r="A42" s="2"/>
      <x:c r="B42" s="2"/>
      <x:c r="C42" s="2" t="str">
        <x:v>current liabilities</x:v>
      </x:c>
      <x:c r="D42" s="16" t="n">
        <x:v>734.2</x:v>
      </x:c>
      <x:c r="E42" s="16" t="n">
        <x:v>819.8</x:v>
      </x:c>
      <x:c r="F42" s="16" t="n">
        <x:v>795</x:v>
      </x:c>
      <x:c r="G42" s="2"/>
      <x:c r="H42" s="2" t="str">
        <x:v>ENR_2025_10K</x:v>
      </x:c>
      <x:c r="I42" s="2" t="str">
        <x:v>p61; Consolidated Balance Sheets</x:v>
      </x:c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 ht="20" customHeight="1">
      <x:c r="A43" s="2"/>
      <x:c r="B43" s="2"/>
      <x:c r="C43" s="2" t="str">
        <x:v>long debt</x:v>
      </x:c>
      <x:c r="D43" s="16" t="n">
        <x:v>3332.1</x:v>
      </x:c>
      <x:c r="E43" s="16" t="n">
        <x:v>3193</x:v>
      </x:c>
      <x:c r="F43" s="16" t="n">
        <x:v>3407.9</x:v>
      </x:c>
      <x:c r="G43" s="2"/>
      <x:c r="H43" s="2" t="str">
        <x:v>ENR_2025_10K</x:v>
      </x:c>
      <x:c r="I43" s="2" t="str">
        <x:v>p61; Consolidated Balance Sheets</x:v>
      </x:c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 ht="20" customHeight="1">
      <x:c r="A44" s="2"/>
      <x:c r="B44" s="2"/>
      <x:c r="C44" s="2" t="str">
        <x:v>operating lease</x:v>
      </x:c>
      <x:c r="D44" s="16" t="n">
        <x:v>84.7</x:v>
      </x:c>
      <x:c r="E44" s="16" t="n">
        <x:v>82.4</x:v>
      </x:c>
      <x:c r="F44" s="16" t="n">
        <x:v>84.8</x:v>
      </x:c>
      <x:c r="G44" s="2"/>
      <x:c r="H44" s="2" t="str">
        <x:v>ENR_2025_10K</x:v>
      </x:c>
      <x:c r="I44" s="2" t="str">
        <x:v>p61; Consolidated Balance Sheets</x:v>
      </x:c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 ht="20" customHeight="1">
      <x:c r="A45" s="2"/>
      <x:c r="B45" s="2"/>
      <x:c r="C45" s="2" t="str">
        <x:v>dtl</x:v>
      </x:c>
      <x:c r="D45" s="16" t="n">
        <x:v>12.4</x:v>
      </x:c>
      <x:c r="E45" s="16" t="n">
        <x:v>8.3</x:v>
      </x:c>
      <x:c r="F45" s="16" t="n">
        <x:v>6.1</x:v>
      </x:c>
      <x:c r="G45" s="2"/>
      <x:c r="H45" s="2" t="str">
        <x:v>ENR_2025_10K</x:v>
      </x:c>
      <x:c r="I45" s="2" t="str">
        <x:v>p61; Consolidated Balance Sheets</x:v>
      </x:c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 ht="20" customHeight="1">
      <x:c r="A46" s="2"/>
      <x:c r="B46" s="2"/>
      <x:c r="C46" s="2" t="str">
        <x:v>other liabilities</x:v>
      </x:c>
      <x:c r="D46" s="16" t="n">
        <x:v>135.5</x:v>
      </x:c>
      <x:c r="E46" s="16" t="n">
        <x:v>103.1</x:v>
      </x:c>
      <x:c r="F46" s="16" t="n">
        <x:v>93</x:v>
      </x:c>
      <x:c r="G46" s="2"/>
      <x:c r="H46" s="2" t="str">
        <x:v>ENR_2025_10K</x:v>
      </x:c>
      <x:c r="I46" s="2" t="str">
        <x:v>p61; Consolidated Balance Sheets</x:v>
      </x:c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 ht="20" customHeight="1">
      <x:c r="A47" s="2"/>
      <x:c r="B47" s="2"/>
      <x:c r="C47" s="2" t="str">
        <x:v>liabilities</x:v>
      </x:c>
      <x:c r="D47" s="16" t="n">
        <x:v>4298.9</x:v>
      </x:c>
      <x:c r="E47" s="16" t="n">
        <x:v>4206.6</x:v>
      </x:c>
      <x:c r="F47" s="16" t="n">
        <x:v>4386.8</x:v>
      </x:c>
      <x:c r="G47" s="2"/>
      <x:c r="H47" s="2" t="str">
        <x:v>ENR_2025_10K</x:v>
      </x:c>
      <x:c r="I47" s="2" t="str">
        <x:v>p61; Consolidated Balance Sheets</x:v>
      </x:c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 ht="20" customHeight="1">
      <x:c r="A48" s="2"/>
      <x:c r="B48" s="2"/>
      <x:c r="C48" s="2" t="str">
        <x:v>equity</x:v>
      </x:c>
      <x:c r="D48" s="16" t="n">
        <x:v>210.7</x:v>
      </x:c>
      <x:c r="E48" s="16" t="n">
        <x:v>135.8</x:v>
      </x:c>
      <x:c r="F48" s="16" t="n">
        <x:v>169.9</x:v>
      </x:c>
      <x:c r="G48" s="2"/>
      <x:c r="H48" s="2" t="str">
        <x:v>ENR_2025_10K</x:v>
      </x:c>
      <x:c r="I48" s="2" t="str">
        <x:v>p61; Consolidated Balance Sheets</x:v>
      </x:c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 ht="20" customHeight="1">
      <x:c r="A49" s="2"/>
      <x:c r="B49" s="2"/>
      <x:c r="C49" s="2" t="str">
        <x:v>da</x:v>
      </x:c>
      <x:c r="D49" s="16" t="n">
        <x:v>122.7</x:v>
      </x:c>
      <x:c r="E49" s="16" t="n">
        <x:v>120.5</x:v>
      </x:c>
      <x:c r="F49" s="16" t="n">
        <x:v>126.7</x:v>
      </x:c>
      <x:c r="G49" s="2"/>
      <x:c r="H49" s="2" t="str">
        <x:v>ENR_2025_10K</x:v>
      </x:c>
      <x:c r="I49" s="2" t="str">
        <x:v>p62; Consolidated Statements of Cash Flows</x:v>
      </x:c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  <x:row r="50" ht="20" customHeight="1">
      <x:c r="A50" s="2"/>
      <x:c r="B50" s="2"/>
      <x:c r="C50" s="2" t="str">
        <x:v>sbc</x:v>
      </x:c>
      <x:c r="D50" s="16" t="n">
        <x:v>21.8</x:v>
      </x:c>
      <x:c r="E50" s="16" t="n">
        <x:v>23.1</x:v>
      </x:c>
      <x:c r="F50" s="16" t="n">
        <x:v>25.6</x:v>
      </x:c>
      <x:c r="G50" s="2"/>
      <x:c r="H50" s="2" t="str">
        <x:v>ENR_2025_10K</x:v>
      </x:c>
      <x:c r="I50" s="2" t="str">
        <x:v>p62; Consolidated Statements of Cash Flows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</x:row>
    <x:row r="51" ht="20" customHeight="1">
      <x:c r="A51" s="2"/>
      <x:c r="B51" s="2"/>
      <x:c r="C51" s="2" t="str">
        <x:v>cfo</x:v>
      </x:c>
      <x:c r="D51" s="16" t="n">
        <x:v>395.2</x:v>
      </x:c>
      <x:c r="E51" s="16" t="n">
        <x:v>429.6</x:v>
      </x:c>
      <x:c r="F51" s="16" t="n">
        <x:v>147.1</x:v>
      </x:c>
      <x:c r="G51" s="2"/>
      <x:c r="H51" s="2" t="str">
        <x:v>ENR_2025_10K</x:v>
      </x:c>
      <x:c r="I51" s="2" t="str">
        <x:v>p62; Consolidated Statements of Cash Flows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 ht="20" customHeight="1">
      <x:c r="A52" s="2"/>
      <x:c r="B52" s="2"/>
      <x:c r="C52" s="2" t="str">
        <x:v>capex signed</x:v>
      </x:c>
      <x:c r="D52" s="16" t="n">
        <x:v>-56.8</x:v>
      </x:c>
      <x:c r="E52" s="16" t="n">
        <x:v>-97.9</x:v>
      </x:c>
      <x:c r="F52" s="16" t="n">
        <x:v>-83.9</x:v>
      </x:c>
      <x:c r="G52" s="2"/>
      <x:c r="H52" s="2" t="str">
        <x:v>ENR_2025_10K</x:v>
      </x:c>
      <x:c r="I52" s="2" t="str">
        <x:v>p62; Consolidated Statements of Cash Flows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</x:row>
    <x:row r="53" ht="20" customHeight="1">
      <x:c r="A53" s="2"/>
      <x:c r="B53" s="2"/>
      <x:c r="C53" s="2" t="str">
        <x:v>cfi</x:v>
      </x:c>
      <x:c r="D53" s="16" t="n">
        <x:v>-56.1</x:v>
      </x:c>
      <x:c r="E53" s="16" t="n">
        <x:v>-114</x:v>
      </x:c>
      <x:c r="F53" s="16" t="n">
        <x:v>-98.2</x:v>
      </x:c>
      <x:c r="G53" s="2"/>
      <x:c r="H53" s="2" t="str">
        <x:v>ENR_2025_10K</x:v>
      </x:c>
      <x:c r="I53" s="2" t="str">
        <x:v>p62; Consolidated Statements of Cash Flows</x:v>
      </x:c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</x:row>
    <x:row r="54" ht="20" customHeight="1">
      <x:c r="A54" s="2"/>
      <x:c r="B54" s="2"/>
      <x:c r="C54" s="2" t="str">
        <x:v>cff</x:v>
      </x:c>
      <x:c r="D54" s="16" t="n">
        <x:v>-309.4</x:v>
      </x:c>
      <x:c r="E54" s="16" t="n">
        <x:v>-300.3</x:v>
      </x:c>
      <x:c r="F54" s="16" t="n">
        <x:v>-29.1</x:v>
      </x:c>
      <x:c r="G54" s="2"/>
      <x:c r="H54" s="2" t="str">
        <x:v>ENR_2025_10K</x:v>
      </x:c>
      <x:c r="I54" s="2" t="str">
        <x:v>p62; Consolidated Statements of Cash Flows</x:v>
      </x:c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</x:row>
    <x:row r="55" ht="20" customHeight="1">
      <x:c r="A55" s="2"/>
      <x:c r="B55" s="2"/>
      <x:c r="C55" s="2" t="str">
        <x:v>fx cash</x:v>
      </x:c>
      <x:c r="D55" s="16" t="n">
        <x:v>-11.7</x:v>
      </x:c>
      <x:c r="E55" s="16" t="n">
        <x:v>-21.7</x:v>
      </x:c>
      <x:c r="F55" s="16" t="n">
        <x:v>-0.5</x:v>
      </x:c>
      <x:c r="G55" s="2"/>
      <x:c r="H55" s="2" t="str">
        <x:v>ENR_2025_10K</x:v>
      </x:c>
      <x:c r="I55" s="2" t="str">
        <x:v>p62; Consolidated Statements of Cash Flows</x:v>
      </x:c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</x:row>
    <x:row r="56" ht="20" customHeight="1">
      <x:c r="A56" s="2"/>
      <x:c r="B56" s="2"/>
      <x:c r="C56" s="2" t="str">
        <x:v>cash change</x:v>
      </x:c>
      <x:c r="D56" s="16" t="n">
        <x:v>18</x:v>
      </x:c>
      <x:c r="E56" s="16" t="n">
        <x:v>-6.4</x:v>
      </x:c>
      <x:c r="F56" s="16" t="n">
        <x:v>19.3</x:v>
      </x:c>
      <x:c r="G56" s="2"/>
      <x:c r="H56" s="2" t="str">
        <x:v>ENR_2025_10K</x:v>
      </x:c>
      <x:c r="I56" s="2" t="str">
        <x:v>p62; Consolidated Statements of Cash Flows</x:v>
      </x:c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</x:row>
    <x:row r="57" ht="20" customHeight="1">
      <x:c r="A57" s="2"/>
      <x:c r="B57" s="2"/>
      <x:c r="C57" s="2" t="str">
        <x:v>cash begin</x:v>
      </x:c>
      <x:c r="D57" s="16" t="n">
        <x:v>205.3</x:v>
      </x:c>
      <x:c r="E57" s="16" t="n">
        <x:v>223.3</x:v>
      </x:c>
      <x:c r="F57" s="16" t="n">
        <x:v>216.9</x:v>
      </x:c>
      <x:c r="G57" s="2"/>
      <x:c r="H57" s="2" t="str">
        <x:v>ENR_2025_10K</x:v>
      </x:c>
      <x:c r="I57" s="2" t="str">
        <x:v>p62; Consolidated Statements of Cash Flows</x:v>
      </x:c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 ht="20" customHeight="1">
      <x:c r="A58" s="2"/>
      <x:c r="B58" s="2"/>
      <x:c r="C58" s="2" t="str">
        <x:v>cash end</x:v>
      </x:c>
      <x:c r="D58" s="16" t="n">
        <x:v>223.3</x:v>
      </x:c>
      <x:c r="E58" s="16" t="n">
        <x:v>216.9</x:v>
      </x:c>
      <x:c r="F58" s="16" t="n">
        <x:v>236.2</x:v>
      </x:c>
      <x:c r="G58" s="2"/>
      <x:c r="H58" s="2" t="str">
        <x:v>ENR_2025_10K</x:v>
      </x:c>
      <x:c r="I58" s="2" t="str">
        <x:v>p62; Consolidated Statements of Cash Flows</x:v>
      </x:c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</x:row>
    <x:row r="59" ht="20" customHeight="1">
      <x:c r="A59" s="2"/>
      <x:c r="B59" s="2"/>
      <x:c r="C59" s="2" t="str">
        <x:v>battery sales</x:v>
      </x:c>
      <x:c r="D59" s="16" t="n">
        <x:v>2344.9</x:v>
      </x:c>
      <x:c r="E59" s="16" t="n">
        <x:v>2259.5</x:v>
      </x:c>
      <x:c r="F59" s="16" t="n">
        <x:v>2332.7</x:v>
      </x:c>
      <x:c r="G59" s="2"/>
      <x:c r="H59" s="2" t="str">
        <x:v>ENR_2025_10K</x:v>
      </x:c>
      <x:c r="I59" s="2" t="str">
        <x:v>Note 7; Segment Results / Capital Expenditures and D&amp;A</x:v>
      </x:c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</x:row>
    <x:row r="60" ht="20" customHeight="1">
      <x:c r="A60" s="2"/>
      <x:c r="B60" s="2"/>
      <x:c r="C60" s="2" t="str">
        <x:v>auto sales</x:v>
      </x:c>
      <x:c r="D60" s="16" t="n">
        <x:v>614.8</x:v>
      </x:c>
      <x:c r="E60" s="16" t="n">
        <x:v>627.5</x:v>
      </x:c>
      <x:c r="F60" s="16" t="n">
        <x:v>620</x:v>
      </x:c>
      <x:c r="G60" s="2"/>
      <x:c r="H60" s="2" t="str">
        <x:v>ENR_2025_10K</x:v>
      </x:c>
      <x:c r="I60" s="2" t="str">
        <x:v>Note 7; Segment Results / Capital Expenditures and D&amp;A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</x:row>
    <x:row r="61" ht="20" customHeight="1">
      <x:c r="A61" s="2"/>
      <x:c r="B61" s="2"/>
      <x:c r="C61" s="2" t="str">
        <x:v>battery cost</x:v>
      </x:c>
      <x:c r="D61" s="16" t="n">
        <x:v>1383</x:v>
      </x:c>
      <x:c r="E61" s="16" t="n">
        <x:v>1295.1</x:v>
      </x:c>
      <x:c r="F61" s="16" t="n">
        <x:v>1356.8</x:v>
      </x:c>
      <x:c r="G61" s="2"/>
      <x:c r="H61" s="2" t="str">
        <x:v>ENR_2025_10K</x:v>
      </x:c>
      <x:c r="I61" s="2" t="str">
        <x:v>Note 7; Segment Results / Capital Expenditures and D&amp;A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</x:row>
    <x:row r="62" ht="20" customHeight="1">
      <x:c r="A62" s="2"/>
      <x:c r="B62" s="2"/>
      <x:c r="C62" s="2" t="str">
        <x:v>auto cost</x:v>
      </x:c>
      <x:c r="D62" s="16" t="n">
        <x:v>422.8</x:v>
      </x:c>
      <x:c r="E62" s="16" t="n">
        <x:v>409.9</x:v>
      </x:c>
      <x:c r="F62" s="16" t="n">
        <x:v>387.2</x:v>
      </x:c>
      <x:c r="G62" s="2"/>
      <x:c r="H62" s="2" t="str">
        <x:v>ENR_2025_10K</x:v>
      </x:c>
      <x:c r="I62" s="2" t="str">
        <x:v>Note 7; Segment Results / Capital Expenditures and D&amp;A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</x:row>
    <x:row r="63" ht="20" customHeight="1">
      <x:c r="A63" s="2"/>
      <x:c r="B63" s="2"/>
      <x:c r="C63" s="2" t="str">
        <x:v>battery dep</x:v>
      </x:c>
      <x:c r="D63" s="16" t="n">
        <x:v>52.2</x:v>
      </x:c>
      <x:c r="E63" s="16" t="n">
        <x:v>50.3</x:v>
      </x:c>
      <x:c r="F63" s="16" t="n">
        <x:v>54.9</x:v>
      </x:c>
      <x:c r="G63" s="2"/>
      <x:c r="H63" s="2" t="str">
        <x:v>ENR_2025_10K</x:v>
      </x:c>
      <x:c r="I63" s="2" t="str">
        <x:v>Note 7; Segment Results / Capital Expenditures and D&amp;A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</x:row>
    <x:row r="64" ht="20" customHeight="1">
      <x:c r="A64" s="2"/>
      <x:c r="B64" s="2"/>
      <x:c r="C64" s="2" t="str">
        <x:v>auto dep</x:v>
      </x:c>
      <x:c r="D64" s="16" t="n">
        <x:v>11.1</x:v>
      </x:c>
      <x:c r="E64" s="16" t="n">
        <x:v>12</x:v>
      </x:c>
      <x:c r="F64" s="16" t="n">
        <x:v>13.1</x:v>
      </x:c>
      <x:c r="G64" s="2"/>
      <x:c r="H64" s="2" t="str">
        <x:v>ENR_2025_10K</x:v>
      </x:c>
      <x:c r="I64" s="2" t="str">
        <x:v>Note 7; Segment Results / Capital Expenditures and D&amp;A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 ht="20" customHeight="1">
      <x:c r="A65" s="2"/>
      <x:c r="B65" s="2"/>
      <x:c r="C65" s="2" t="str">
        <x:v>financial debt face</x:v>
      </x:c>
      <x:c r="D65" s="2" t="str">
        <x:v>n.a.</x:v>
      </x:c>
      <x:c r="E65" s="2" t="str">
        <x:v>n.a.</x:v>
      </x:c>
      <x:c r="F65" s="16" t="n">
        <x:v>3395.6</x:v>
      </x:c>
      <x:c r="G65" s="2"/>
      <x:c r="H65" s="2" t="str">
        <x:v>ENR_2025_10K</x:v>
      </x:c>
      <x:c r="I65" s="2" t="str">
        <x:v>Notes 12 and 13; debt table and pension funded status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</x:row>
    <x:row r="66" ht="20" customHeight="1">
      <x:c r="A66" s="2"/>
      <x:c r="B66" s="2"/>
      <x:c r="C66" s="2" t="str">
        <x:v>finance lease</x:v>
      </x:c>
      <x:c r="D66" s="2" t="str">
        <x:v>n.a.</x:v>
      </x:c>
      <x:c r="E66" s="2" t="str">
        <x:v>n.a.</x:v>
      </x:c>
      <x:c r="F66" s="16" t="n">
        <x:v>50.3</x:v>
      </x:c>
      <x:c r="G66" s="2"/>
      <x:c r="H66" s="2" t="str">
        <x:v>ENR_2025_10K</x:v>
      </x:c>
      <x:c r="I66" s="2" t="str">
        <x:v>Notes 12 and 13; debt table and pension funded status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 ht="20" customHeight="1">
      <x:c r="A67" s="2"/>
      <x:c r="B67" s="2"/>
      <x:c r="C67" s="2" t="str">
        <x:v>old finance fees</x:v>
      </x:c>
      <x:c r="D67" s="2" t="str">
        <x:v>n.a.</x:v>
      </x:c>
      <x:c r="E67" s="2" t="str">
        <x:v>n.a.</x:v>
      </x:c>
      <x:c r="F67" s="16" t="n">
        <x:v>27.9</x:v>
      </x:c>
      <x:c r="G67" s="2"/>
      <x:c r="H67" s="2" t="str">
        <x:v>ENR_2025_10K</x:v>
      </x:c>
      <x:c r="I67" s="2" t="str">
        <x:v>Notes 12 and 13; debt table and pension funded status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</x:row>
    <x:row r="68" ht="20" customHeight="1">
      <x:c r="A68" s="2"/>
      <x:c r="B68" s="2"/>
      <x:c r="C68" s="2" t="str">
        <x:v>pension deficit</x:v>
      </x:c>
      <x:c r="D68" s="2" t="str">
        <x:v>n.a.</x:v>
      </x:c>
      <x:c r="E68" s="2" t="str">
        <x:v>n.a.</x:v>
      </x:c>
      <x:c r="F68" s="16" t="n">
        <x:v>38.8</x:v>
      </x:c>
      <x:c r="G68" s="2"/>
      <x:c r="H68" s="2" t="str">
        <x:v>ENR_2025_10K</x:v>
      </x:c>
      <x:c r="I68" s="2" t="str">
        <x:v>Notes 12 and 13; debt table and pension funded status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</x:row>
    <x:row r="69" ht="20" customHeight="1">
      <x:c r="A69" s="2"/>
      <x:c r="B69" s="2"/>
      <x:c r="C69" s="2" t="str">
        <x:v>management ebitda</x:v>
      </x:c>
      <x:c r="D69" s="2" t="str">
        <x:v>n.a.</x:v>
      </x:c>
      <x:c r="E69" s="2" t="str">
        <x:v>n.a.</x:v>
      </x:c>
      <x:c r="F69" s="16" t="n">
        <x:v>623.6</x:v>
      </x:c>
      <x:c r="G69" s="2"/>
      <x:c r="H69" s="2" t="str">
        <x:v>ENR_2025_RELEASE</x:v>
      </x:c>
      <x:c r="I69" s="2" t="str">
        <x:v>Supplemental schedules: Non-GAAP reconciliations / gross margin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</x:row>
    <x:row r="70" ht="20" customHeight="1">
      <x:c r="A70" s="2"/>
      <x:c r="B70" s="2"/>
      <x:c r="C70" s="2" t="str">
        <x:v>issuer ebitda</x:v>
      </x:c>
      <x:c r="D70" s="2" t="str">
        <x:v>n.a.</x:v>
      </x:c>
      <x:c r="E70" s="2" t="str">
        <x:v>n.a.</x:v>
      </x:c>
      <x:c r="F70" s="16" t="n">
        <x:v>577.2</x:v>
      </x:c>
      <x:c r="G70" s="2"/>
      <x:c r="H70" s="2" t="str">
        <x:v>ENR_2025_RELEASE</x:v>
      </x:c>
      <x:c r="I70" s="2" t="str">
        <x:v>Supplemental schedules: Non-GAAP reconciliations / gross margin</x:v>
      </x:c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</x:row>
    <x:row r="71" ht="20" customHeight="1">
      <x:c r="A71" s="2"/>
      <x:c r="B71" s="2"/>
      <x:c r="C71" s="2" t="str">
        <x:v>restructuring</x:v>
      </x:c>
      <x:c r="D71" s="2" t="str">
        <x:v>n.a.</x:v>
      </x:c>
      <x:c r="E71" s="2" t="str">
        <x:v>n.a.</x:v>
      </x:c>
      <x:c r="F71" s="16" t="n">
        <x:v>68.7</x:v>
      </x:c>
      <x:c r="G71" s="2"/>
      <x:c r="H71" s="2" t="str">
        <x:v>ENR_2025_RELEASE</x:v>
      </x:c>
      <x:c r="I71" s="2" t="str">
        <x:v>Supplemental schedules: Non-GAAP reconciliations / gross margin</x:v>
      </x:c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</x:row>
    <x:row r="72" ht="20" customHeight="1">
      <x:c r="A72" s="2"/>
      <x:c r="B72" s="2"/>
      <x:c r="C72" s="2" t="str">
        <x:v>network</x:v>
      </x:c>
      <x:c r="D72" s="2" t="str">
        <x:v>n.a.</x:v>
      </x:c>
      <x:c r="E72" s="2" t="str">
        <x:v>n.a.</x:v>
      </x:c>
      <x:c r="F72" s="16" t="n">
        <x:v>19.7</x:v>
      </x:c>
      <x:c r="G72" s="2"/>
      <x:c r="H72" s="2" t="str">
        <x:v>ENR_2025_RELEASE</x:v>
      </x:c>
      <x:c r="I72" s="2" t="str">
        <x:v>Supplemental schedules: Non-GAAP reconciliations / gross margin</x:v>
      </x:c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</x:row>
    <x:row r="73" ht="20" customHeight="1">
      <x:c r="A73" s="2"/>
      <x:c r="B73" s="2"/>
      <x:c r="C73" s="2" t="str">
        <x:v>integration</x:v>
      </x:c>
      <x:c r="D73" s="2" t="str">
        <x:v>n.a.</x:v>
      </x:c>
      <x:c r="E73" s="2" t="str">
        <x:v>n.a.</x:v>
      </x:c>
      <x:c r="F73" s="16" t="n">
        <x:v>6.2</x:v>
      </x:c>
      <x:c r="G73" s="2"/>
      <x:c r="H73" s="2" t="str">
        <x:v>ENR_2025_RELEASE</x:v>
      </x:c>
      <x:c r="I73" s="2" t="str">
        <x:v>Supplemental schedules: Non-GAAP reconciliations / gross margin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</x:row>
    <x:row r="74" ht="20" customHeight="1">
      <x:c r="A74" s="2"/>
      <x:c r="B74" s="2"/>
      <x:c r="C74" s="2" t="str">
        <x:v>prior credits</x:v>
      </x:c>
      <x:c r="D74" s="2" t="str">
        <x:v>n.a.</x:v>
      </x:c>
      <x:c r="E74" s="2" t="str">
        <x:v>n.a.</x:v>
      </x:c>
      <x:c r="F74" s="16" t="n">
        <x:v>78</x:v>
      </x:c>
      <x:c r="G74" s="2"/>
      <x:c r="H74" s="2" t="str">
        <x:v>ENR_2025_RELEASE</x:v>
      </x:c>
      <x:c r="I74" s="2" t="str">
        <x:v>Supplemental schedules: Non-GAAP reconciliations / gross margin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</x:row>
    <x:row r="75" ht="20" customHeight="1">
      <x:c r="A75" s="2"/>
      <x:c r="B75" s="2"/>
      <x:c r="C75" s="2" t="str">
        <x:v>litigation benefit</x:v>
      </x:c>
      <x:c r="D75" s="2" t="str">
        <x:v>n.a.</x:v>
      </x:c>
      <x:c r="E75" s="2" t="str">
        <x:v>n.a.</x:v>
      </x:c>
      <x:c r="F75" s="16" t="n">
        <x:v>1.7</x:v>
      </x:c>
      <x:c r="G75" s="2"/>
      <x:c r="H75" s="2" t="str">
        <x:v>ENR_2025_RELEASE</x:v>
      </x:c>
      <x:c r="I75" s="2" t="str">
        <x:v>Supplemental schedules: Non-GAAP reconciliations / gross margin</x:v>
      </x:c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</x:row>
    <x:row r="76" ht="20" customHeight="1">
      <x:c r="A76" s="2"/>
      <x:c r="B76" s="2"/>
      <x:c r="C76" s="2" t="str">
        <x:v>current credits</x:v>
      </x:c>
      <x:c r="D76" s="2" t="str">
        <x:v>n.a.</x:v>
      </x:c>
      <x:c r="E76" s="2" t="str">
        <x:v>n.a.</x:v>
      </x:c>
      <x:c r="F76" s="16" t="n">
        <x:v>42.9</x:v>
      </x:c>
      <x:c r="G76" s="2"/>
      <x:c r="H76" s="2" t="str">
        <x:v>ENR_2025_10K</x:v>
      </x:c>
      <x:c r="I76" s="2" t="str">
        <x:v>MD&amp;A production credits; Note 6</x:v>
      </x:c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 ht="20" customHeight="1">
      <x:c r="A77" s="2"/>
      <x:c r="B77" s="2"/>
      <x:c r="C77" s="2" t="str">
        <x:v>adjusted sga</x:v>
      </x:c>
      <x:c r="D77" s="2" t="str">
        <x:v>n.a.</x:v>
      </x:c>
      <x:c r="E77" s="2" t="str">
        <x:v>n.a.</x:v>
      </x:c>
      <x:c r="F77" s="16" t="n">
        <x:v>495.5</x:v>
      </x:c>
      <x:c r="G77" s="2"/>
      <x:c r="H77" s="2" t="str">
        <x:v>ENR_2025_RELEASE</x:v>
      </x:c>
      <x:c r="I77" s="2" t="str">
        <x:v>Supplemental schedules: Non-GAAP reconciliations / gross margin</x:v>
      </x:c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</x:row>
    <x:row r="78" ht="20" customHeight="1">
      <x:c r="A78" s="2"/>
      <x:c r="B78" s="2"/>
      <x:c r="C78" s="2" t="str">
        <x:v>adjusted other income</x:v>
      </x:c>
      <x:c r="D78" s="2" t="str">
        <x:v>n.a.</x:v>
      </x:c>
      <x:c r="E78" s="2" t="str">
        <x:v>n.a.</x:v>
      </x:c>
      <x:c r="F78" s="16" t="n">
        <x:v>1.1</x:v>
      </x:c>
      <x:c r="G78" s="2"/>
      <x:c r="H78" s="2" t="str">
        <x:v>ENR_2025_RELEASE</x:v>
      </x:c>
      <x:c r="I78" s="2" t="str">
        <x:v>Supplemental schedules: Non-GAAP reconciliations / gross margin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</x:row>
    <x:row r="79" ht="20" customHeight="1">
      <x:c r="A79" s="2"/>
      <x:c r="B79" s="2"/>
      <x:c r="C79" s="2" t="str">
        <x:v>battery fq1</x:v>
      </x:c>
      <x:c r="D79" s="2" t="str">
        <x:v>n.a.</x:v>
      </x:c>
      <x:c r="E79" s="2" t="str">
        <x:v>n.a.</x:v>
      </x:c>
      <x:c r="F79" s="16" t="n">
        <x:v>632.4</x:v>
      </x:c>
      <x:c r="G79" s="2"/>
      <x:c r="H79" s="2" t="str">
        <x:v>ENR_2025_RELEASE</x:v>
      </x:c>
      <x:c r="I79" s="2" t="str">
        <x:v>Supplemental schedules: Segment Sales; FY2025 quarters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</x:row>
    <x:row r="80" ht="20" customHeight="1">
      <x:c r="A80" s="2"/>
      <x:c r="B80" s="2"/>
      <x:c r="C80" s="2" t="str">
        <x:v>battery fq2</x:v>
      </x:c>
      <x:c r="D80" s="2" t="str">
        <x:v>n.a.</x:v>
      </x:c>
      <x:c r="E80" s="2" t="str">
        <x:v>n.a.</x:v>
      </x:c>
      <x:c r="F80" s="16" t="n">
        <x:v>488</x:v>
      </x:c>
      <x:c r="G80" s="2"/>
      <x:c r="H80" s="2" t="str">
        <x:v>ENR_2025_RELEASE</x:v>
      </x:c>
      <x:c r="I80" s="2" t="str">
        <x:v>Supplemental schedules: Segment Sales; FY2025 quarters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 ht="20" customHeight="1">
      <x:c r="A81" s="2"/>
      <x:c r="B81" s="2"/>
      <x:c r="C81" s="2" t="str">
        <x:v>battery fq3</x:v>
      </x:c>
      <x:c r="D81" s="2" t="str">
        <x:v>n.a.</x:v>
      </x:c>
      <x:c r="E81" s="2" t="str">
        <x:v>n.a.</x:v>
      </x:c>
      <x:c r="F81" s="16" t="n">
        <x:v>535.1</x:v>
      </x:c>
      <x:c r="G81" s="2"/>
      <x:c r="H81" s="2" t="str">
        <x:v>ENR_2025_RELEASE</x:v>
      </x:c>
      <x:c r="I81" s="2" t="str">
        <x:v>Supplemental schedules: Segment Sales; FY2025 quarters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</x:row>
    <x:row r="82" ht="20" customHeight="1">
      <x:c r="A82" s="2"/>
      <x:c r="B82" s="2"/>
      <x:c r="C82" s="2" t="str">
        <x:v>battery fq4</x:v>
      </x:c>
      <x:c r="D82" s="2" t="str">
        <x:v>n.a.</x:v>
      </x:c>
      <x:c r="E82" s="2" t="str">
        <x:v>n.a.</x:v>
      </x:c>
      <x:c r="F82" s="16" t="n">
        <x:v>677.2</x:v>
      </x:c>
      <x:c r="G82" s="2"/>
      <x:c r="H82" s="2" t="str">
        <x:v>ENR_2025_RELEASE</x:v>
      </x:c>
      <x:c r="I82" s="2" t="str">
        <x:v>Supplemental schedules: Segment Sales; FY2025 quarters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</x:row>
    <x:row r="83" ht="20" customHeight="1">
      <x:c r="A83" s="2"/>
      <x:c r="B83" s="2"/>
      <x:c r="C83" s="2" t="str">
        <x:v>auto fq1</x:v>
      </x:c>
      <x:c r="D83" s="2" t="str">
        <x:v>n.a.</x:v>
      </x:c>
      <x:c r="E83" s="2" t="str">
        <x:v>n.a.</x:v>
      </x:c>
      <x:c r="F83" s="16" t="n">
        <x:v>99.3</x:v>
      </x:c>
      <x:c r="G83" s="2"/>
      <x:c r="H83" s="2" t="str">
        <x:v>ENR_2025_RELEASE</x:v>
      </x:c>
      <x:c r="I83" s="2" t="str">
        <x:v>Supplemental schedules: Segment Sales; FY2025 quarters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</x:row>
    <x:row r="84" ht="20" customHeight="1">
      <x:c r="A84" s="2"/>
      <x:c r="B84" s="2"/>
      <x:c r="C84" s="2" t="str">
        <x:v>auto fq2</x:v>
      </x:c>
      <x:c r="D84" s="2" t="str">
        <x:v>n.a.</x:v>
      </x:c>
      <x:c r="E84" s="2" t="str">
        <x:v>n.a.</x:v>
      </x:c>
      <x:c r="F84" s="16" t="n">
        <x:v>174.9</x:v>
      </x:c>
      <x:c r="G84" s="2"/>
      <x:c r="H84" s="2" t="str">
        <x:v>ENR_2025_RELEASE</x:v>
      </x:c>
      <x:c r="I84" s="2" t="str">
        <x:v>Supplemental schedules: Segment Sales; FY2025 quarters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</x:row>
    <x:row r="85" ht="20" customHeight="1">
      <x:c r="A85" s="2"/>
      <x:c r="B85" s="2"/>
      <x:c r="C85" s="2" t="str">
        <x:v>auto fq3</x:v>
      </x:c>
      <x:c r="D85" s="2" t="str">
        <x:v>n.a.</x:v>
      </x:c>
      <x:c r="E85" s="2" t="str">
        <x:v>n.a.</x:v>
      </x:c>
      <x:c r="F85" s="16" t="n">
        <x:v>190.2</x:v>
      </x:c>
      <x:c r="G85" s="2"/>
      <x:c r="H85" s="2" t="str">
        <x:v>ENR_2025_RELEASE</x:v>
      </x:c>
      <x:c r="I85" s="2" t="str">
        <x:v>Supplemental schedules: Segment Sales; FY2025 quarters</x:v>
      </x:c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 ht="20" customHeight="1">
      <x:c r="A86" s="2"/>
      <x:c r="B86" s="2"/>
      <x:c r="C86" s="2" t="str">
        <x:v>auto fq4</x:v>
      </x:c>
      <x:c r="D86" s="2" t="str">
        <x:v>n.a.</x:v>
      </x:c>
      <x:c r="E86" s="2" t="str">
        <x:v>n.a.</x:v>
      </x:c>
      <x:c r="F86" s="16" t="n">
        <x:v>155.6</x:v>
      </x:c>
      <x:c r="G86" s="2"/>
      <x:c r="H86" s="2" t="str">
        <x:v>ENR_2025_RELEASE</x:v>
      </x:c>
      <x:c r="I86" s="2" t="str">
        <x:v>Supplemental schedules: Segment Sales; FY2025 quarters</x:v>
      </x:c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</x:row>
    <x:row r="90" ht="23" customHeight="1">
      <x:c r="A90" s="2"/>
      <x:c r="B90" s="2"/>
      <x:c r="C90" s="23" t="str">
        <x:v>FY2025 earnings normalization</x:v>
      </x:c>
      <x:c r="D90" s="23"/>
      <x:c r="E90" s="23"/>
      <x:c r="F90" s="23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</x:row>
    <x:row r="91" ht="20" customHeight="1">
      <x:c r="A91" s="2"/>
      <x:c r="B91" s="2"/>
      <x:c r="C91" s="2" t="str">
        <x:v>Issuer EBITDA</x:v>
      </x:c>
      <x:c r="D91" s="9" t="n">
        <x:f>'Historical &amp; Sources'!F21+'Historical &amp; Sources'!F18+'Historical &amp; Sources'!F19+'Historical &amp; Sources'!F49</x:f>
        <x:v>577.2</x:v>
      </x:c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 ht="20" customHeight="1">
      <x:c r="A92" s="2"/>
      <x:c r="B92" s="2"/>
      <x:c r="C92" s="2" t="str">
        <x:v>Management adjusted EBITDA</x:v>
      </x:c>
      <x:c r="D92" s="9" t="n">
        <x:f>D91+'Historical &amp; Sources'!F71+'Historical &amp; Sources'!F72+'Historical &amp; Sources'!F73-'Historical &amp; Sources'!F74-'Historical &amp; Sources'!F75+'Historical &amp; Sources'!F17+'Historical &amp; Sources'!F50</x:f>
        <x:v>623.6000000000001</x:v>
      </x:c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 ht="20" customHeight="1">
      <x:c r="A93" s="2"/>
      <x:c r="B93" s="2"/>
      <x:c r="C93" s="2" t="str">
        <x:v>Cash replacement of share compensation</x:v>
      </x:c>
      <x:c r="D93" s="9" t="n">
        <x:f>-'Historical &amp; Sources'!F50</x:f>
        <x:v>-25.6</x:v>
      </x:c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 ht="20" customHeight="1">
      <x:c r="A94" s="2"/>
      <x:c r="B94" s="2"/>
      <x:c r="C94" s="2" t="str">
        <x:v>Exclude FY2025 production credits</x:v>
      </x:c>
      <x:c r="D94" s="9" t="n">
        <x:f>-'Historical &amp; Sources'!F76</x:f>
        <x:v>-42.9</x:v>
      </x:c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</x:row>
    <x:row r="95" ht="20" customHeight="1">
      <x:c r="A95" s="2"/>
      <x:c r="B95" s="2"/>
      <x:c r="C95" s="2" t="str">
        <x:v>Recurring cash-cost reserve</x:v>
      </x:c>
      <x:c r="D95" s="9" t="n">
        <x:f>-'Assumptions'!D36</x:f>
        <x:v>-20</x:v>
      </x:c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 ht="20" customHeight="1">
      <x:c r="A96" s="2"/>
      <x:c r="B96" s="2"/>
      <x:c r="C96" s="2" t="str">
        <x:v>Exclude nonoperating income</x:v>
      </x:c>
      <x:c r="D96" s="9" t="n">
        <x:f>-'Historical &amp; Sources'!F78</x:f>
        <x:v>-1.1</x:v>
      </x:c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 ht="20" customHeight="1">
      <x:c r="A97" s="2"/>
      <x:c r="B97" s="2"/>
      <x:c r="C97" s="2" t="str">
        <x:v>Underwritten entry EBITDA</x:v>
      </x:c>
      <x:c r="D97" s="2" t="n">
        <x:f>SUM(D92:D96)</x:f>
        <x:v>534.0000000000001</x:v>
      </x:c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</x:row>
    <x:row r="98" ht="20" customHeight="1">
      <x:c r="A98" s="2"/>
      <x:c r="B98" s="2"/>
      <x:c r="C98" s="2" t="str">
        <x:v>Battery cash gross margin</x:v>
      </x:c>
      <x:c r="D98" s="20" t="n">
        <x:f>('Historical &amp; Sources'!F59-'Historical &amp; Sources'!F61+'Historical &amp; Sources'!F63-'Historical &amp; Sources'!F76)/'Historical &amp; Sources'!F59</x:f>
        <x:v>0.4235006644660694</x:v>
      </x:c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</x:row>
    <x:row r="99" ht="20" customHeight="1">
      <x:c r="A99" s="2"/>
      <x:c r="B99" s="2"/>
      <x:c r="C99" s="2" t="str">
        <x:v>Auto Care cash gross margin</x:v>
      </x:c>
      <x:c r="D99" s="20" t="n">
        <x:f>('Historical &amp; Sources'!F60-'Historical &amp; Sources'!F62+'Historical &amp; Sources'!F64)/'Historical &amp; Sources'!F60</x:f>
        <x:v>0.39661290322580645</x:v>
      </x:c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</x:row>
    <x:row r="100" ht="20" customHeight="1">
      <x:c r="A100" s="2"/>
      <x:c r="B100" s="2"/>
      <x:c r="C100" s="2" t="str">
        <x:v>Variable operating expense / sales</x:v>
      </x:c>
      <x:c r="D100" s="20" t="n">
        <x:f>('Historical &amp; Sources'!F14+'Historical &amp; Sources'!F15)/'Historical &amp; Sources'!F10</x:f>
        <x:v>0.06241744843702374</x:v>
      </x:c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</x:row>
    <x:row r="101" ht="2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 ht="2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</x:row>
    <x:row r="103" ht="32" customHeight="1">
      <x:c r="A103" s="2"/>
      <x:c r="B103" s="2"/>
      <x:c r="C103" s="13" t="str">
        <x:v>Sources: SEC 2025 Form 10-K, accepted Nov 18, 2025; SEC 2024 Form 10-K, accepted Nov 19, 2024.</x:v>
      </x:c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 ht="2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 ht="32" customHeight="1">
      <x:c r="A105" s="2"/>
      <x:c r="B105" s="2"/>
      <x:c r="C105" s="13" t="str">
        <x:v>Quarterly sales and management EBITDA: Energizer November 18, 2025 earnings release. Fiscal Q1 ends December.</x:v>
      </x:c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</x:row>
    <x:row r="106" ht="2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</x:row>
    <x:row r="107" ht="32" customHeight="1">
      <x:c r="A107" s="2"/>
      <x:c r="B107" s="2"/>
      <x:c r="C107" s="13" t="str">
        <x:v>Field definitions, retrieval dates, accession numbers and full URLs: data/historical.csv and data/source_manifest.csv.</x:v>
      </x:c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</x:row>
    <x:row r="108" ht="2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</x:row>
    <x:row r="109" ht="20" customHeight="1">
      <x:c r="A109" s="2"/>
      <x:c r="B109" s="2"/>
      <x:c r="C109" s="2" t="str">
        <x:v>2025 10-K URL</x:v>
      </x:c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</x:row>
    <x:row r="110" ht="20" customHeight="1">
      <x:c r="A110" s="2"/>
      <x:c r="B110" s="2"/>
      <x:c r="C110" s="2" t="str">
        <x:v>https://www.sec.gov/Archives/edgar/data/1632790/000163279025000091/enr-20250930.htm</x:v>
      </x:c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</x:row>
    <x:row r="111" ht="2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 ht="20" customHeight="1">
      <x:c r="A112" s="2"/>
      <x:c r="B112" s="2"/>
      <x:c r="C112" s="2" t="str">
        <x:v>2024 10-K URL</x:v>
      </x:c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 ht="20" customHeight="1">
      <x:c r="A113" s="2"/>
      <x:c r="B113" s="2"/>
      <x:c r="C113" s="2" t="str">
        <x:v>https://www.sec.gov/Archives/edgar/data/1632790/000163279024000102/enr-20240930.htm</x:v>
      </x:c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</x:row>
    <x:row r="114" ht="2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</x:row>
    <x:row r="115" ht="20" customHeight="1">
      <x:c r="A115" s="2"/>
      <x:c r="B115" s="2"/>
      <x:c r="C115" s="2" t="str">
        <x:v>Issuer release URL</x:v>
      </x:c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</x:row>
    <x:row r="116" ht="20" customHeight="1">
      <x:c r="A116" s="2"/>
      <x:c r="B116" s="2"/>
      <x:c r="C116" s="2" t="str">
        <x:v>https://investors.energizerholdings.com/2025-11-18-Energizer-Holdings,-Inc-Announces-Fiscal-2025-Fourth-Quarter-and-Full-Year-Results-and-Financial-Outlook-for-Fiscal-2026</x:v>
      </x:c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</x:row>
  </x:sheetData>
  <x:mergeCells>
    <x:mergeCell ref="C103:L103"/>
    <x:mergeCell ref="C105:L105"/>
    <x:mergeCell ref="C107:L107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30" customHeight="1">
      <x:c r="A2" s="2"/>
      <x:c r="B2" s="2"/>
      <x:c r="C2" s="3" t="str">
        <x:v>Checks</x:v>
      </x:c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0" customHeight="1">
      <x:c r="A3" s="2"/>
      <x:c r="B3" s="2"/>
      <x:c r="C3" s="4" t="str">
        <x:v>USD millions unless noted | Hypothetical practice case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20" customHeight="1">
      <x:c r="A5" s="2"/>
      <x:c r="B5" s="2"/>
      <x:c r="C5" s="2" t="str">
        <x:v>Selected case</x:v>
      </x:c>
      <x:c r="D5" s="2"/>
      <x:c r="E5" s="10" t="str">
        <x:f>CHOOSE('Sensitivities'!$D$5,"Base","Downside","Upside")</x:f>
        <x:v>Base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20" customHeight="1">
      <x:c r="A8" s="2"/>
      <x:c r="B8" s="2"/>
      <x:c r="C8" s="2"/>
      <x:c r="D8" s="8" t="n">
        <x:v>2026</x:v>
      </x:c>
      <x:c r="E8" s="8" t="n">
        <x:v>2027</x:v>
      </x:c>
      <x:c r="F8" s="8" t="n">
        <x:v>2028</x:v>
      </x:c>
      <x:c r="G8" s="8" t="n">
        <x:v>2029</x:v>
      </x:c>
      <x:c r="H8" s="8" t="n">
        <x:v>2030</x:v>
      </x:c>
      <x:c r="I8" s="2"/>
      <x:c r="J8" s="2"/>
      <x:c r="K8" s="11" t="n">
        <x:v>46112</x:v>
      </x:c>
      <x:c r="L8" s="11" t="n">
        <x:v>46203</x:v>
      </x:c>
      <x:c r="M8" s="11" t="n">
        <x:v>46295</x:v>
      </x:c>
      <x:c r="N8" s="11" t="n">
        <x:v>46387</x:v>
      </x:c>
      <x:c r="O8" s="11" t="n">
        <x:v>46477</x:v>
      </x:c>
      <x:c r="P8" s="11" t="n">
        <x:v>46568</x:v>
      </x:c>
      <x:c r="Q8" s="11" t="n">
        <x:v>46660</x:v>
      </x:c>
      <x:c r="R8" s="11" t="n">
        <x:v>46752</x:v>
      </x:c>
      <x:c r="S8" s="11" t="n">
        <x:v>46843</x:v>
      </x:c>
      <x:c r="T8" s="11" t="n">
        <x:v>46934</x:v>
      </x:c>
      <x:c r="U8" s="11" t="n">
        <x:v>47026</x:v>
      </x:c>
      <x:c r="V8" s="11" t="n">
        <x:v>47118</x:v>
      </x:c>
      <x:c r="W8" s="11" t="n">
        <x:v>47208</x:v>
      </x:c>
      <x:c r="X8" s="11" t="n">
        <x:v>47299</x:v>
      </x:c>
      <x:c r="Y8" s="11" t="n">
        <x:v>47391</x:v>
      </x:c>
      <x:c r="Z8" s="11" t="n">
        <x:v>47483</x:v>
      </x:c>
      <x:c r="AA8" s="11" t="n">
        <x:v>47573</x:v>
      </x:c>
      <x:c r="AB8" s="11" t="n">
        <x:v>47664</x:v>
      </x:c>
      <x:c r="AC8" s="11" t="n">
        <x:v>47756</x:v>
      </x:c>
      <x:c r="AD8" s="11" t="n">
        <x:v>47848</x:v>
      </x:c>
    </x:row>
    <x:row r="9" ht="2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0" customHeight="1">
      <x:c r="A10" s="2"/>
      <x:c r="B10" s="2"/>
      <x:c r="C10" s="2" t="str">
        <x:v>Sources less uses</x:v>
      </x:c>
      <x:c r="D10" s="28" t="n">
        <x:f>'Sources &amp; Uses'!D33-'Sources &amp; Uses'!D24</x:f>
        <x:v>0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20" customHeight="1">
      <x:c r="A11" s="2"/>
      <x:c r="B11" s="2"/>
      <x:c r="C11" s="2" t="str">
        <x:v>Bridge balance sheet</x:v>
      </x:c>
      <x:c r="D11" s="28" t="n">
        <x:f>'Closing Bridge'!D34-'Closing Bridge'!D35-'Closing Bridge'!D36</x:f>
        <x:v>-5.115907697472721e-13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20" customHeight="1">
      <x:c r="A12" s="2"/>
      <x:c r="B12" s="2"/>
      <x:c r="C12" s="2" t="str">
        <x:v>Opening acquisition balance sheet</x:v>
      </x:c>
      <x:c r="D12" s="28" t="n">
        <x:f>'Purchase Accounting'!D15-'Purchase Accounting'!D16-'Purchase Accounting'!D17</x:f>
        <x:v>-4.547473508864641e-13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20" customHeight="1">
      <x:c r="A13" s="2"/>
      <x:c r="B13" s="2"/>
      <x:c r="C13" s="2" t="str">
        <x:v>Management EBITDA reconciliation</x:v>
      </x:c>
      <x:c r="D13" s="28" t="n">
        <x:f>'Historical &amp; Sources'!D92-'Historical &amp; Sources'!F69</x:f>
        <x:v>1.1368683772161603e-13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20" customHeight="1">
      <x:c r="A14" s="2"/>
      <x:c r="B14" s="2"/>
      <x:c r="C14" s="2" t="str">
        <x:v>Underwritten operating calibration</x:v>
      </x:c>
      <x:c r="D14" s="28" t="n">
        <x:f>'Historical &amp; Sources'!F59*'Historical &amp; Sources'!D98+'Historical &amp; Sources'!F60*'Historical &amp; Sources'!D99-'Historical &amp; Sources'!F10*'Historical &amp; Sources'!D100-'Historical &amp; Sources'!F77-'Assumptions'!D36-'Historical &amp; Sources'!D97</x:f>
        <x:v>-1.1368683772161603e-13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0" customHeight="1">
      <x:c r="A15" s="2"/>
      <x:c r="B15" s="2"/>
      <x:c r="C15" s="2" t="str">
        <x:v>Equity value bridge</x:v>
      </x:c>
      <x:c r="D15" s="28" t="n">
        <x:f>'Returns'!D42-'Returns'!D19</x:f>
        <x:v>9.094947017729282e-13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2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0" customHeight="1">
      <x:c r="A18" s="2"/>
      <x:c r="B18" s="2"/>
      <x:c r="C18" s="2" t="str">
        <x:v>Balance sheet residual</x:v>
      </x:c>
      <x:c r="D18" s="28" t="n">
        <x:f>N18</x:f>
        <x:v>4.547473508864641e-13</x:v>
      </x:c>
      <x:c r="E18" s="28" t="n">
        <x:f>R18</x:f>
        <x:v>4.547473508864641e-13</x:v>
      </x:c>
      <x:c r="F18" s="28" t="n">
        <x:f>V18</x:f>
        <x:v>0</x:v>
      </x:c>
      <x:c r="G18" s="28" t="n">
        <x:f>Z18</x:f>
        <x:v>-4.547473508864641e-13</x:v>
      </x:c>
      <x:c r="H18" s="28" t="n">
        <x:f>AD18</x:f>
        <x:v>9.094947017729282e-13</x:v>
      </x:c>
      <x:c r="I18" s="28"/>
      <x:c r="J18" s="28"/>
      <x:c r="K18" s="28" t="n">
        <x:f>'Balance Sheet'!K22-'Balance Sheet'!K33-'Balance Sheet'!K38</x:f>
        <x:v>9.094947017729282e-13</x:v>
      </x:c>
      <x:c r="L18" s="28" t="n">
        <x:f>'Balance Sheet'!L22-'Balance Sheet'!L33-'Balance Sheet'!L38</x:f>
        <x:v>0</x:v>
      </x:c>
      <x:c r="M18" s="28" t="n">
        <x:f>'Balance Sheet'!M22-'Balance Sheet'!M33-'Balance Sheet'!M38</x:f>
        <x:v>0</x:v>
      </x:c>
      <x:c r="N18" s="28" t="n">
        <x:f>'Balance Sheet'!N22-'Balance Sheet'!N33-'Balance Sheet'!N38</x:f>
        <x:v>4.547473508864641e-13</x:v>
      </x:c>
      <x:c r="O18" s="28" t="n">
        <x:f>'Balance Sheet'!O22-'Balance Sheet'!O33-'Balance Sheet'!O38</x:f>
        <x:v>4.547473508864641e-13</x:v>
      </x:c>
      <x:c r="P18" s="28" t="n">
        <x:f>'Balance Sheet'!P22-'Balance Sheet'!P33-'Balance Sheet'!P38</x:f>
        <x:v>0</x:v>
      </x:c>
      <x:c r="Q18" s="28" t="n">
        <x:f>'Balance Sheet'!Q22-'Balance Sheet'!Q33-'Balance Sheet'!Q38</x:f>
        <x:v>0</x:v>
      </x:c>
      <x:c r="R18" s="28" t="n">
        <x:f>'Balance Sheet'!R22-'Balance Sheet'!R33-'Balance Sheet'!R38</x:f>
        <x:v>4.547473508864641e-13</x:v>
      </x:c>
      <x:c r="S18" s="28" t="n">
        <x:f>'Balance Sheet'!S22-'Balance Sheet'!S33-'Balance Sheet'!S38</x:f>
        <x:v>4.547473508864641e-13</x:v>
      </x:c>
      <x:c r="T18" s="28" t="n">
        <x:f>'Balance Sheet'!T22-'Balance Sheet'!T33-'Balance Sheet'!T38</x:f>
        <x:v>-4.547473508864641e-13</x:v>
      </x:c>
      <x:c r="U18" s="28" t="n">
        <x:f>'Balance Sheet'!U22-'Balance Sheet'!U33-'Balance Sheet'!U38</x:f>
        <x:v>-9.094947017729282e-13</x:v>
      </x:c>
      <x:c r="V18" s="28" t="n">
        <x:f>'Balance Sheet'!V22-'Balance Sheet'!V33-'Balance Sheet'!V38</x:f>
        <x:v>0</x:v>
      </x:c>
      <x:c r="W18" s="28" t="n">
        <x:f>'Balance Sheet'!W22-'Balance Sheet'!W33-'Balance Sheet'!W38</x:f>
        <x:v>9.094947017729282e-13</x:v>
      </x:c>
      <x:c r="X18" s="28" t="n">
        <x:f>'Balance Sheet'!X22-'Balance Sheet'!X33-'Balance Sheet'!X38</x:f>
        <x:v>9.094947017729282e-13</x:v>
      </x:c>
      <x:c r="Y18" s="28" t="n">
        <x:f>'Balance Sheet'!Y22-'Balance Sheet'!Y33-'Balance Sheet'!Y38</x:f>
        <x:v>-4.547473508864641e-13</x:v>
      </x:c>
      <x:c r="Z18" s="28" t="n">
        <x:f>'Balance Sheet'!Z22-'Balance Sheet'!Z33-'Balance Sheet'!Z38</x:f>
        <x:v>-4.547473508864641e-13</x:v>
      </x:c>
      <x:c r="AA18" s="28" t="n">
        <x:f>'Balance Sheet'!AA22-'Balance Sheet'!AA33-'Balance Sheet'!AA38</x:f>
        <x:v>0</x:v>
      </x:c>
      <x:c r="AB18" s="28" t="n">
        <x:f>'Balance Sheet'!AB22-'Balance Sheet'!AB33-'Balance Sheet'!AB38</x:f>
        <x:v>-4.547473508864641e-13</x:v>
      </x:c>
      <x:c r="AC18" s="28" t="n">
        <x:f>'Balance Sheet'!AC22-'Balance Sheet'!AC33-'Balance Sheet'!AC38</x:f>
        <x:v>-9.094947017729282e-13</x:v>
      </x:c>
      <x:c r="AD18" s="28" t="n">
        <x:f>'Balance Sheet'!AD22-'Balance Sheet'!AD33-'Balance Sheet'!AD38</x:f>
        <x:v>9.094947017729282e-13</x:v>
      </x:c>
    </x:row>
    <x:row r="19" ht="20" customHeight="1">
      <x:c r="A19" s="2"/>
      <x:c r="B19" s="2"/>
      <x:c r="C19" s="2" t="str">
        <x:v>Cash flow vs financing waterfall</x:v>
      </x:c>
      <x:c r="D19" s="28" t="n">
        <x:f>N19</x:f>
        <x:v>-2.1316282072803006e-14</x:v>
      </x:c>
      <x:c r="E19" s="28" t="n">
        <x:f>R19</x:f>
        <x:v>-2.1316282072803006e-14</x:v>
      </x:c>
      <x:c r="F19" s="28" t="n">
        <x:f>V19</x:f>
        <x:v>0</x:v>
      </x:c>
      <x:c r="G19" s="28" t="n">
        <x:f>Z19</x:f>
        <x:v>-1.4210854715202004e-14</x:v>
      </x:c>
      <x:c r="H19" s="28" t="n">
        <x:f>AD19</x:f>
        <x:v>-4.263256414560601e-14</x:v>
      </x:c>
      <x:c r="I19" s="28"/>
      <x:c r="J19" s="28"/>
      <x:c r="K19" s="28" t="n">
        <x:f>'Cash Flow'!K27-'Debt Schedule'!K38</x:f>
        <x:v>0</x:v>
      </x:c>
      <x:c r="L19" s="28" t="n">
        <x:f>'Cash Flow'!L27-'Debt Schedule'!L38</x:f>
        <x:v>0</x:v>
      </x:c>
      <x:c r="M19" s="28" t="n">
        <x:f>'Cash Flow'!M27-'Debt Schedule'!M38</x:f>
        <x:v>-1.4210854715202004e-14</x:v>
      </x:c>
      <x:c r="N19" s="28" t="n">
        <x:f>'Cash Flow'!N27-'Debt Schedule'!N38</x:f>
        <x:v>-2.1316282072803006e-14</x:v>
      </x:c>
      <x:c r="O19" s="28" t="n">
        <x:f>'Cash Flow'!O27-'Debt Schedule'!O38</x:f>
        <x:v>-3.552713678800501e-14</x:v>
      </x:c>
      <x:c r="P19" s="28" t="n">
        <x:f>'Cash Flow'!P27-'Debt Schedule'!P38</x:f>
        <x:v>-4.263256414560601e-14</x:v>
      </x:c>
      <x:c r="Q19" s="28" t="n">
        <x:f>'Cash Flow'!Q27-'Debt Schedule'!Q38</x:f>
        <x:v>-2.842170943040401e-14</x:v>
      </x:c>
      <x:c r="R19" s="28" t="n">
        <x:f>'Cash Flow'!R27-'Debt Schedule'!R38</x:f>
        <x:v>-2.1316282072803006e-14</x:v>
      </x:c>
      <x:c r="S19" s="28" t="n">
        <x:f>'Cash Flow'!S27-'Debt Schedule'!S38</x:f>
        <x:v>-2.1316282072803006e-14</x:v>
      </x:c>
      <x:c r="T19" s="28" t="n">
        <x:f>'Cash Flow'!T27-'Debt Schedule'!T38</x:f>
        <x:v>-1.4210854715202004e-14</x:v>
      </x:c>
      <x:c r="U19" s="28" t="n">
        <x:f>'Cash Flow'!U27-'Debt Schedule'!U38</x:f>
        <x:v>-7.105427357601002e-15</x:v>
      </x:c>
      <x:c r="V19" s="28" t="n">
        <x:f>'Cash Flow'!V27-'Debt Schedule'!V38</x:f>
        <x:v>0</x:v>
      </x:c>
      <x:c r="W19" s="28" t="n">
        <x:f>'Cash Flow'!W27-'Debt Schedule'!W38</x:f>
        <x:v>-1.4210854715202004e-14</x:v>
      </x:c>
      <x:c r="X19" s="28" t="n">
        <x:f>'Cash Flow'!X27-'Debt Schedule'!X38</x:f>
        <x:v>-2.1316282072803006e-14</x:v>
      </x:c>
      <x:c r="Y19" s="28" t="n">
        <x:f>'Cash Flow'!Y27-'Debt Schedule'!Y38</x:f>
        <x:v>-7.105427357601002e-15</x:v>
      </x:c>
      <x:c r="Z19" s="28" t="n">
        <x:f>'Cash Flow'!Z27-'Debt Schedule'!Z38</x:f>
        <x:v>-1.4210854715202004e-14</x:v>
      </x:c>
      <x:c r="AA19" s="28" t="n">
        <x:f>'Cash Flow'!AA27-'Debt Schedule'!AA38</x:f>
        <x:v>-2.1316282072803006e-14</x:v>
      </x:c>
      <x:c r="AB19" s="28" t="n">
        <x:f>'Cash Flow'!AB27-'Debt Schedule'!AB38</x:f>
        <x:v>-2.842170943040401e-14</x:v>
      </x:c>
      <x:c r="AC19" s="28" t="n">
        <x:f>'Cash Flow'!AC27-'Debt Schedule'!AC38</x:f>
        <x:v>-7.105427357601002e-15</x:v>
      </x:c>
      <x:c r="AD19" s="28" t="n">
        <x:f>'Cash Flow'!AD27-'Debt Schedule'!AD38</x:f>
        <x:v>-4.263256414560601e-14</x:v>
      </x:c>
    </x:row>
    <x:row r="20" ht="20" customHeight="1">
      <x:c r="A20" s="2"/>
      <x:c r="B20" s="2"/>
      <x:c r="C20" s="2" t="str">
        <x:v>FCF vs net-income cash bridge</x:v>
      </x:c>
      <x:c r="D20" s="28" t="n">
        <x:f>SUM(K20:N20)</x:f>
        <x:v>-1.4210854715202004e-14</x:v>
      </x:c>
      <x:c r="E20" s="28" t="n">
        <x:f>SUM(O20:R20)</x:f>
        <x:v>3.552713678800501e-15</x:v>
      </x:c>
      <x:c r="F20" s="28" t="n">
        <x:f>SUM(S20:V20)</x:f>
        <x:v>0</x:v>
      </x:c>
      <x:c r="G20" s="28" t="n">
        <x:f>SUM(W20:Z20)</x:f>
        <x:v>7.105427357601002e-15</x:v>
      </x:c>
      <x:c r="H20" s="28" t="n">
        <x:f>SUM(AA20:AD20)</x:f>
        <x:v>0</x:v>
      </x:c>
      <x:c r="I20" s="28"/>
      <x:c r="J20" s="28"/>
      <x:c r="K20" s="28" t="n">
        <x:f>'Cash Flow'!K19-'Debt Schedule'!K25</x:f>
        <x:v>7.105427357601002e-15</x:v>
      </x:c>
      <x:c r="L20" s="28" t="n">
        <x:f>'Cash Flow'!L19-'Debt Schedule'!L25</x:f>
        <x:v>7.105427357601002e-15</x:v>
      </x:c>
      <x:c r="M20" s="28" t="n">
        <x:f>'Cash Flow'!M19-'Debt Schedule'!M25</x:f>
        <x:v>-1.4210854715202004e-14</x:v>
      </x:c>
      <x:c r="N20" s="28" t="n">
        <x:f>'Cash Flow'!N19-'Debt Schedule'!N25</x:f>
        <x:v>-1.4210854715202004e-14</x:v>
      </x:c>
      <x:c r="O20" s="28" t="n">
        <x:f>'Cash Flow'!O19-'Debt Schedule'!O25</x:f>
        <x:v>-1.4210854715202004e-14</x:v>
      </x:c>
      <x:c r="P20" s="28" t="n">
        <x:f>'Cash Flow'!P19-'Debt Schedule'!P25</x:f>
        <x:v>-3.552713678800501e-15</x:v>
      </x:c>
      <x:c r="Q20" s="28" t="n">
        <x:f>'Cash Flow'!Q19-'Debt Schedule'!Q25</x:f>
        <x:v>2.1316282072803006e-14</x:v>
      </x:c>
      <x:c r="R20" s="28" t="n">
        <x:f>'Cash Flow'!R19-'Debt Schedule'!R25</x:f>
        <x:v>0</x:v>
      </x:c>
      <x:c r="S20" s="28" t="n">
        <x:f>'Cash Flow'!S19-'Debt Schedule'!S25</x:f>
        <x:v>0</x:v>
      </x:c>
      <x:c r="T20" s="28" t="n">
        <x:f>'Cash Flow'!T19-'Debt Schedule'!T25</x:f>
        <x:v>3.552713678800501e-15</x:v>
      </x:c>
      <x:c r="U20" s="28" t="n">
        <x:f>'Cash Flow'!U19-'Debt Schedule'!U25</x:f>
        <x:v>-3.552713678800501e-15</x:v>
      </x:c>
      <x:c r="V20" s="28" t="n">
        <x:f>'Cash Flow'!V19-'Debt Schedule'!V25</x:f>
        <x:v>0</x:v>
      </x:c>
      <x:c r="W20" s="28" t="n">
        <x:f>'Cash Flow'!W19-'Debt Schedule'!W25</x:f>
        <x:v>-1.4210854715202004e-14</x:v>
      </x:c>
      <x:c r="X20" s="28" t="n">
        <x:f>'Cash Flow'!X19-'Debt Schedule'!X25</x:f>
        <x:v>0</x:v>
      </x:c>
      <x:c r="Y20" s="28" t="n">
        <x:f>'Cash Flow'!Y19-'Debt Schedule'!Y25</x:f>
        <x:v>2.1316282072803006e-14</x:v>
      </x:c>
      <x:c r="Z20" s="28" t="n">
        <x:f>'Cash Flow'!Z19-'Debt Schedule'!Z25</x:f>
        <x:v>0</x:v>
      </x:c>
      <x:c r="AA20" s="28" t="n">
        <x:f>'Cash Flow'!AA19-'Debt Schedule'!AA25</x:f>
        <x:v>0</x:v>
      </x:c>
      <x:c r="AB20" s="28" t="n">
        <x:f>'Cash Flow'!AB19-'Debt Schedule'!AB25</x:f>
        <x:v>0</x:v>
      </x:c>
      <x:c r="AC20" s="28" t="n">
        <x:f>'Cash Flow'!AC19-'Debt Schedule'!AC25</x:f>
        <x:v>2.842170943040401e-14</x:v>
      </x:c>
      <x:c r="AD20" s="28" t="n">
        <x:f>'Cash Flow'!AD19-'Debt Schedule'!AD25</x:f>
        <x:v>-2.842170943040401e-14</x:v>
      </x:c>
    </x:row>
    <x:row r="21" ht="20" customHeight="1">
      <x:c r="A21" s="2"/>
      <x:c r="B21" s="2"/>
      <x:c r="C21" s="2" t="str">
        <x:v>Debt roll-forward residual</x:v>
      </x:c>
      <x:c r="D21" s="28" t="n">
        <x:f>N21</x:f>
        <x:v>0</x:v>
      </x:c>
      <x:c r="E21" s="28" t="n">
        <x:f>R21</x:f>
        <x:v>0</x:v>
      </x:c>
      <x:c r="F21" s="28" t="n">
        <x:f>V21</x:f>
        <x:v>2.2737367544323206e-13</x:v>
      </x:c>
      <x:c r="G21" s="28" t="n">
        <x:f>Z21</x:f>
        <x:v>0</x:v>
      </x:c>
      <x:c r="H21" s="28" t="n">
        <x:f>AD21</x:f>
        <x:v>2.2737367544323206e-13</x:v>
      </x:c>
      <x:c r="I21" s="28"/>
      <x:c r="J21" s="28"/>
      <x:c r="K21" s="28" t="n">
        <x:f>'Debt Schedule'!K10+'Debt Schedule'!K11+'Debt Schedule'!K12+'Debt Schedule'!K13+'Debt Schedule'!K29-'Debt Schedule'!K26-'Debt Schedule'!K27-'Debt Schedule'!K32-'Debt Schedule'!K31-'Debt Schedule'!K53</x:f>
        <x:v>-4.547473508864641e-13</x:v>
      </x:c>
      <x:c r="L21" s="28" t="n">
        <x:f>'Debt Schedule'!L10+'Debt Schedule'!L11+'Debt Schedule'!L12+'Debt Schedule'!L13+'Debt Schedule'!L29-'Debt Schedule'!L26-'Debt Schedule'!L27-'Debt Schedule'!L32-'Debt Schedule'!L31-'Debt Schedule'!L53</x:f>
        <x:v>0</x:v>
      </x:c>
      <x:c r="M21" s="28" t="n">
        <x:f>'Debt Schedule'!M10+'Debt Schedule'!M11+'Debt Schedule'!M12+'Debt Schedule'!M13+'Debt Schedule'!M29-'Debt Schedule'!M26-'Debt Schedule'!M27-'Debt Schedule'!M32-'Debt Schedule'!M31-'Debt Schedule'!M53</x:f>
        <x:v>-4.547473508864641e-13</x:v>
      </x:c>
      <x:c r="N21" s="28" t="n">
        <x:f>'Debt Schedule'!N10+'Debt Schedule'!N11+'Debt Schedule'!N12+'Debt Schedule'!N13+'Debt Schedule'!N29-'Debt Schedule'!N26-'Debt Schedule'!N27-'Debt Schedule'!N32-'Debt Schedule'!N31-'Debt Schedule'!N53</x:f>
        <x:v>0</x:v>
      </x:c>
      <x:c r="O21" s="28" t="n">
        <x:f>'Debt Schedule'!O10+'Debt Schedule'!O11+'Debt Schedule'!O12+'Debt Schedule'!O13+'Debt Schedule'!O29-'Debt Schedule'!O26-'Debt Schedule'!O27-'Debt Schedule'!O32-'Debt Schedule'!O31-'Debt Schedule'!O53</x:f>
        <x:v>0</x:v>
      </x:c>
      <x:c r="P21" s="28" t="n">
        <x:f>'Debt Schedule'!P10+'Debt Schedule'!P11+'Debt Schedule'!P12+'Debt Schedule'!P13+'Debt Schedule'!P29-'Debt Schedule'!P26-'Debt Schedule'!P27-'Debt Schedule'!P32-'Debt Schedule'!P31-'Debt Schedule'!P53</x:f>
        <x:v>-4.547473508864641e-13</x:v>
      </x:c>
      <x:c r="Q21" s="28" t="n">
        <x:f>'Debt Schedule'!Q10+'Debt Schedule'!Q11+'Debt Schedule'!Q12+'Debt Schedule'!Q13+'Debt Schedule'!Q29-'Debt Schedule'!Q26-'Debt Schedule'!Q27-'Debt Schedule'!Q32-'Debt Schedule'!Q31-'Debt Schedule'!Q53</x:f>
        <x:v>-4.547473508864641e-13</x:v>
      </x:c>
      <x:c r="R21" s="28" t="n">
        <x:f>'Debt Schedule'!R10+'Debt Schedule'!R11+'Debt Schedule'!R12+'Debt Schedule'!R13+'Debt Schedule'!R29-'Debt Schedule'!R26-'Debt Schedule'!R27-'Debt Schedule'!R32-'Debt Schedule'!R31-'Debt Schedule'!R53</x:f>
        <x:v>0</x:v>
      </x:c>
      <x:c r="S21" s="28" t="n">
        <x:f>'Debt Schedule'!S10+'Debt Schedule'!S11+'Debt Schedule'!S12+'Debt Schedule'!S13+'Debt Schedule'!S29-'Debt Schedule'!S26-'Debt Schedule'!S27-'Debt Schedule'!S32-'Debt Schedule'!S31-'Debt Schedule'!S53</x:f>
        <x:v>-4.547473508864641e-13</x:v>
      </x:c>
      <x:c r="T21" s="28" t="n">
        <x:f>'Debt Schedule'!T10+'Debt Schedule'!T11+'Debt Schedule'!T12+'Debt Schedule'!T13+'Debt Schedule'!T29-'Debt Schedule'!T26-'Debt Schedule'!T27-'Debt Schedule'!T32-'Debt Schedule'!T31-'Debt Schedule'!T53</x:f>
        <x:v>-4.547473508864641e-13</x:v>
      </x:c>
      <x:c r="U21" s="28" t="n">
        <x:f>'Debt Schedule'!U10+'Debt Schedule'!U11+'Debt Schedule'!U12+'Debt Schedule'!U13+'Debt Schedule'!U29-'Debt Schedule'!U26-'Debt Schedule'!U27-'Debt Schedule'!U32-'Debt Schedule'!U31-'Debt Schedule'!U53</x:f>
        <x:v>0</x:v>
      </x:c>
      <x:c r="V21" s="28" t="n">
        <x:f>'Debt Schedule'!V10+'Debt Schedule'!V11+'Debt Schedule'!V12+'Debt Schedule'!V13+'Debt Schedule'!V29-'Debt Schedule'!V26-'Debt Schedule'!V27-'Debt Schedule'!V32-'Debt Schedule'!V31-'Debt Schedule'!V53</x:f>
        <x:v>2.2737367544323206e-13</x:v>
      </x:c>
      <x:c r="W21" s="28" t="n">
        <x:f>'Debt Schedule'!W10+'Debt Schedule'!W11+'Debt Schedule'!W12+'Debt Schedule'!W13+'Debt Schedule'!W29-'Debt Schedule'!W26-'Debt Schedule'!W27-'Debt Schedule'!W32-'Debt Schedule'!W31-'Debt Schedule'!W53</x:f>
        <x:v>0</x:v>
      </x:c>
      <x:c r="X21" s="28" t="n">
        <x:f>'Debt Schedule'!X10+'Debt Schedule'!X11+'Debt Schedule'!X12+'Debt Schedule'!X13+'Debt Schedule'!X29-'Debt Schedule'!X26-'Debt Schedule'!X27-'Debt Schedule'!X32-'Debt Schedule'!X31-'Debt Schedule'!X53</x:f>
        <x:v>0</x:v>
      </x:c>
      <x:c r="Y21" s="28" t="n">
        <x:f>'Debt Schedule'!Y10+'Debt Schedule'!Y11+'Debt Schedule'!Y12+'Debt Schedule'!Y13+'Debt Schedule'!Y29-'Debt Schedule'!Y26-'Debt Schedule'!Y27-'Debt Schedule'!Y32-'Debt Schedule'!Y31-'Debt Schedule'!Y53</x:f>
        <x:v>-2.2737367544323206e-13</x:v>
      </x:c>
      <x:c r="Z21" s="28" t="n">
        <x:f>'Debt Schedule'!Z10+'Debt Schedule'!Z11+'Debt Schedule'!Z12+'Debt Schedule'!Z13+'Debt Schedule'!Z29-'Debt Schedule'!Z26-'Debt Schedule'!Z27-'Debt Schedule'!Z32-'Debt Schedule'!Z31-'Debt Schedule'!Z53</x:f>
        <x:v>0</x:v>
      </x:c>
      <x:c r="AA21" s="28" t="n">
        <x:f>'Debt Schedule'!AA10+'Debt Schedule'!AA11+'Debt Schedule'!AA12+'Debt Schedule'!AA13+'Debt Schedule'!AA29-'Debt Schedule'!AA26-'Debt Schedule'!AA27-'Debt Schedule'!AA32-'Debt Schedule'!AA31-'Debt Schedule'!AA53</x:f>
        <x:v>0</x:v>
      </x:c>
      <x:c r="AB21" s="28" t="n">
        <x:f>'Debt Schedule'!AB10+'Debt Schedule'!AB11+'Debt Schedule'!AB12+'Debt Schedule'!AB13+'Debt Schedule'!AB29-'Debt Schedule'!AB26-'Debt Schedule'!AB27-'Debt Schedule'!AB32-'Debt Schedule'!AB31-'Debt Schedule'!AB53</x:f>
        <x:v>0</x:v>
      </x:c>
      <x:c r="AC21" s="28" t="n">
        <x:f>'Debt Schedule'!AC10+'Debt Schedule'!AC11+'Debt Schedule'!AC12+'Debt Schedule'!AC13+'Debt Schedule'!AC29-'Debt Schedule'!AC26-'Debt Schedule'!AC27-'Debt Schedule'!AC32-'Debt Schedule'!AC31-'Debt Schedule'!AC53</x:f>
        <x:v>0</x:v>
      </x:c>
      <x:c r="AD21" s="28" t="n">
        <x:f>'Debt Schedule'!AD10+'Debt Schedule'!AD11+'Debt Schedule'!AD12+'Debt Schedule'!AD13+'Debt Schedule'!AD29-'Debt Schedule'!AD26-'Debt Schedule'!AD27-'Debt Schedule'!AD32-'Debt Schedule'!AD31-'Debt Schedule'!AD53</x:f>
        <x:v>2.2737367544323206e-13</x:v>
      </x:c>
    </x:row>
    <x:row r="22" ht="20" customHeight="1">
      <x:c r="A22" s="2"/>
      <x:c r="B22" s="2"/>
      <x:c r="C22" s="2" t="str">
        <x:v>Revolver excess over capacity</x:v>
      </x:c>
      <x:c r="D22" s="28" t="n">
        <x:f>MAX(K22:N22)</x:f>
        <x:v>0</x:v>
      </x:c>
      <x:c r="E22" s="28" t="n">
        <x:f>MAX(O22:R22)</x:f>
        <x:v>0</x:v>
      </x:c>
      <x:c r="F22" s="28" t="n">
        <x:f>MAX(S22:V22)</x:f>
        <x:v>0</x:v>
      </x:c>
      <x:c r="G22" s="28" t="n">
        <x:f>MAX(W22:Z22)</x:f>
        <x:v>0</x:v>
      </x:c>
      <x:c r="H22" s="28" t="n">
        <x:f>MAX(AA22:AD22)</x:f>
        <x:v>0</x:v>
      </x:c>
      <x:c r="I22" s="28"/>
      <x:c r="J22" s="28"/>
      <x:c r="K22" s="28" t="n">
        <x:f>MAX(0,'Debt Schedule'!K36-'Sources &amp; Uses'!D35)</x:f>
        <x:v>0</x:v>
      </x:c>
      <x:c r="L22" s="28" t="n">
        <x:f>MAX(0,'Debt Schedule'!L36-'Sources &amp; Uses'!D35)</x:f>
        <x:v>0</x:v>
      </x:c>
      <x:c r="M22" s="28" t="n">
        <x:f>MAX(0,'Debt Schedule'!M36-'Sources &amp; Uses'!D35)</x:f>
        <x:v>0</x:v>
      </x:c>
      <x:c r="N22" s="28" t="n">
        <x:f>MAX(0,'Debt Schedule'!N36-'Sources &amp; Uses'!D35)</x:f>
        <x:v>0</x:v>
      </x:c>
      <x:c r="O22" s="28" t="n">
        <x:f>MAX(0,'Debt Schedule'!O36-'Sources &amp; Uses'!D35)</x:f>
        <x:v>0</x:v>
      </x:c>
      <x:c r="P22" s="28" t="n">
        <x:f>MAX(0,'Debt Schedule'!P36-'Sources &amp; Uses'!D35)</x:f>
        <x:v>0</x:v>
      </x:c>
      <x:c r="Q22" s="28" t="n">
        <x:f>MAX(0,'Debt Schedule'!Q36-'Sources &amp; Uses'!D35)</x:f>
        <x:v>0</x:v>
      </x:c>
      <x:c r="R22" s="28" t="n">
        <x:f>MAX(0,'Debt Schedule'!R36-'Sources &amp; Uses'!D35)</x:f>
        <x:v>0</x:v>
      </x:c>
      <x:c r="S22" s="28" t="n">
        <x:f>MAX(0,'Debt Schedule'!S36-'Sources &amp; Uses'!D35)</x:f>
        <x:v>0</x:v>
      </x:c>
      <x:c r="T22" s="28" t="n">
        <x:f>MAX(0,'Debt Schedule'!T36-'Sources &amp; Uses'!D35)</x:f>
        <x:v>0</x:v>
      </x:c>
      <x:c r="U22" s="28" t="n">
        <x:f>MAX(0,'Debt Schedule'!U36-'Sources &amp; Uses'!D35)</x:f>
        <x:v>0</x:v>
      </x:c>
      <x:c r="V22" s="28" t="n">
        <x:f>MAX(0,'Debt Schedule'!V36-'Sources &amp; Uses'!D35)</x:f>
        <x:v>0</x:v>
      </x:c>
      <x:c r="W22" s="28" t="n">
        <x:f>MAX(0,'Debt Schedule'!W36-'Sources &amp; Uses'!D35)</x:f>
        <x:v>0</x:v>
      </x:c>
      <x:c r="X22" s="28" t="n">
        <x:f>MAX(0,'Debt Schedule'!X36-'Sources &amp; Uses'!D35)</x:f>
        <x:v>0</x:v>
      </x:c>
      <x:c r="Y22" s="28" t="n">
        <x:f>MAX(0,'Debt Schedule'!Y36-'Sources &amp; Uses'!D35)</x:f>
        <x:v>0</x:v>
      </x:c>
      <x:c r="Z22" s="28" t="n">
        <x:f>MAX(0,'Debt Schedule'!Z36-'Sources &amp; Uses'!D35)</x:f>
        <x:v>0</x:v>
      </x:c>
      <x:c r="AA22" s="28" t="n">
        <x:f>MAX(0,'Debt Schedule'!AA36-'Sources &amp; Uses'!D35)</x:f>
        <x:v>0</x:v>
      </x:c>
      <x:c r="AB22" s="28" t="n">
        <x:f>MAX(0,'Debt Schedule'!AB36-'Sources &amp; Uses'!D35)</x:f>
        <x:v>0</x:v>
      </x:c>
      <x:c r="AC22" s="28" t="n">
        <x:f>MAX(0,'Debt Schedule'!AC36-'Sources &amp; Uses'!D35)</x:f>
        <x:v>0</x:v>
      </x:c>
      <x:c r="AD22" s="28" t="n">
        <x:f>MAX(0,'Debt Schedule'!AD36-'Sources &amp; Uses'!D35)</x:f>
        <x:v>0</x:v>
      </x:c>
    </x:row>
    <x:row r="23" ht="20" customHeight="1">
      <x:c r="A23" s="2"/>
      <x:c r="B23" s="2"/>
      <x:c r="C23" s="2" t="str">
        <x:v>Liquidity shortfall (not accounting error)</x:v>
      </x:c>
      <x:c r="D23" s="28" t="n">
        <x:f>MAX(K23:N23)</x:f>
        <x:v>0</x:v>
      </x:c>
      <x:c r="E23" s="28" t="n">
        <x:f>MAX(O23:R23)</x:f>
        <x:v>0</x:v>
      </x:c>
      <x:c r="F23" s="28" t="n">
        <x:f>MAX(S23:V23)</x:f>
        <x:v>0</x:v>
      </x:c>
      <x:c r="G23" s="28" t="n">
        <x:f>MAX(W23:Z23)</x:f>
        <x:v>0</x:v>
      </x:c>
      <x:c r="H23" s="28" t="n">
        <x:f>MAX(AA23:AD23)</x:f>
        <x:v>0</x:v>
      </x:c>
      <x:c r="I23" s="28"/>
      <x:c r="J23" s="28"/>
      <x:c r="K23" s="28" t="n">
        <x:f>'Debt Schedule'!K39</x:f>
        <x:v>0</x:v>
      </x:c>
      <x:c r="L23" s="28" t="n">
        <x:f>'Debt Schedule'!L39</x:f>
        <x:v>0</x:v>
      </x:c>
      <x:c r="M23" s="28" t="n">
        <x:f>'Debt Schedule'!M39</x:f>
        <x:v>0</x:v>
      </x:c>
      <x:c r="N23" s="28" t="n">
        <x:f>'Debt Schedule'!N39</x:f>
        <x:v>0</x:v>
      </x:c>
      <x:c r="O23" s="28" t="n">
        <x:f>'Debt Schedule'!O39</x:f>
        <x:v>0</x:v>
      </x:c>
      <x:c r="P23" s="28" t="n">
        <x:f>'Debt Schedule'!P39</x:f>
        <x:v>0</x:v>
      </x:c>
      <x:c r="Q23" s="28" t="n">
        <x:f>'Debt Schedule'!Q39</x:f>
        <x:v>0</x:v>
      </x:c>
      <x:c r="R23" s="28" t="n">
        <x:f>'Debt Schedule'!R39</x:f>
        <x:v>0</x:v>
      </x:c>
      <x:c r="S23" s="28" t="n">
        <x:f>'Debt Schedule'!S39</x:f>
        <x:v>0</x:v>
      </x:c>
      <x:c r="T23" s="28" t="n">
        <x:f>'Debt Schedule'!T39</x:f>
        <x:v>0</x:v>
      </x:c>
      <x:c r="U23" s="28" t="n">
        <x:f>'Debt Schedule'!U39</x:f>
        <x:v>0</x:v>
      </x:c>
      <x:c r="V23" s="28" t="n">
        <x:f>'Debt Schedule'!V39</x:f>
        <x:v>0</x:v>
      </x:c>
      <x:c r="W23" s="28" t="n">
        <x:f>'Debt Schedule'!W39</x:f>
        <x:v>0</x:v>
      </x:c>
      <x:c r="X23" s="28" t="n">
        <x:f>'Debt Schedule'!X39</x:f>
        <x:v>0</x:v>
      </x:c>
      <x:c r="Y23" s="28" t="n">
        <x:f>'Debt Schedule'!Y39</x:f>
        <x:v>0</x:v>
      </x:c>
      <x:c r="Z23" s="28" t="n">
        <x:f>'Debt Schedule'!Z39</x:f>
        <x:v>0</x:v>
      </x:c>
      <x:c r="AA23" s="28" t="n">
        <x:f>'Debt Schedule'!AA39</x:f>
        <x:v>0</x:v>
      </x:c>
      <x:c r="AB23" s="28" t="n">
        <x:f>'Debt Schedule'!AB39</x:f>
        <x:v>0</x:v>
      </x:c>
      <x:c r="AC23" s="28" t="n">
        <x:f>'Debt Schedule'!AC39</x:f>
        <x:v>0</x:v>
      </x:c>
      <x:c r="AD23" s="28" t="n">
        <x:f>'Debt Schedule'!AD39</x:f>
        <x:v>0</x:v>
      </x:c>
    </x:row>
    <x:row r="24" ht="20" customHeight="1">
      <x:c r="A24" s="2"/>
      <x:c r="B24" s="2"/>
      <x:c r="C24" s="2" t="str">
        <x:v>Negative debt balance</x:v>
      </x:c>
      <x:c r="D24" s="28" t="n">
        <x:f>N24</x:f>
        <x:v>0</x:v>
      </x:c>
      <x:c r="E24" s="28" t="n">
        <x:f>R24</x:f>
        <x:v>0</x:v>
      </x:c>
      <x:c r="F24" s="28" t="n">
        <x:f>V24</x:f>
        <x:v>0</x:v>
      </x:c>
      <x:c r="G24" s="28" t="n">
        <x:f>Z24</x:f>
        <x:v>0</x:v>
      </x:c>
      <x:c r="H24" s="28" t="n">
        <x:f>AD24</x:f>
        <x:v>0</x:v>
      </x:c>
      <x:c r="I24" s="28"/>
      <x:c r="J24" s="28"/>
      <x:c r="K24" s="28" t="n">
        <x:f>MIN(0,'Debt Schedule'!K34,'Debt Schedule'!K35,'Debt Schedule'!K36,'Debt Schedule'!K37)</x:f>
        <x:v>0</x:v>
      </x:c>
      <x:c r="L24" s="28" t="n">
        <x:f>MIN(0,'Debt Schedule'!L34,'Debt Schedule'!L35,'Debt Schedule'!L36,'Debt Schedule'!L37)</x:f>
        <x:v>0</x:v>
      </x:c>
      <x:c r="M24" s="28" t="n">
        <x:f>MIN(0,'Debt Schedule'!M34,'Debt Schedule'!M35,'Debt Schedule'!M36,'Debt Schedule'!M37)</x:f>
        <x:v>0</x:v>
      </x:c>
      <x:c r="N24" s="28" t="n">
        <x:f>MIN(0,'Debt Schedule'!N34,'Debt Schedule'!N35,'Debt Schedule'!N36,'Debt Schedule'!N37)</x:f>
        <x:v>0</x:v>
      </x:c>
      <x:c r="O24" s="28" t="n">
        <x:f>MIN(0,'Debt Schedule'!O34,'Debt Schedule'!O35,'Debt Schedule'!O36,'Debt Schedule'!O37)</x:f>
        <x:v>0</x:v>
      </x:c>
      <x:c r="P24" s="28" t="n">
        <x:f>MIN(0,'Debt Schedule'!P34,'Debt Schedule'!P35,'Debt Schedule'!P36,'Debt Schedule'!P37)</x:f>
        <x:v>0</x:v>
      </x:c>
      <x:c r="Q24" s="28" t="n">
        <x:f>MIN(0,'Debt Schedule'!Q34,'Debt Schedule'!Q35,'Debt Schedule'!Q36,'Debt Schedule'!Q37)</x:f>
        <x:v>0</x:v>
      </x:c>
      <x:c r="R24" s="28" t="n">
        <x:f>MIN(0,'Debt Schedule'!R34,'Debt Schedule'!R35,'Debt Schedule'!R36,'Debt Schedule'!R37)</x:f>
        <x:v>0</x:v>
      </x:c>
      <x:c r="S24" s="28" t="n">
        <x:f>MIN(0,'Debt Schedule'!S34,'Debt Schedule'!S35,'Debt Schedule'!S36,'Debt Schedule'!S37)</x:f>
        <x:v>0</x:v>
      </x:c>
      <x:c r="T24" s="28" t="n">
        <x:f>MIN(0,'Debt Schedule'!T34,'Debt Schedule'!T35,'Debt Schedule'!T36,'Debt Schedule'!T37)</x:f>
        <x:v>0</x:v>
      </x:c>
      <x:c r="U24" s="28" t="n">
        <x:f>MIN(0,'Debt Schedule'!U34,'Debt Schedule'!U35,'Debt Schedule'!U36,'Debt Schedule'!U37)</x:f>
        <x:v>0</x:v>
      </x:c>
      <x:c r="V24" s="28" t="n">
        <x:f>MIN(0,'Debt Schedule'!V34,'Debt Schedule'!V35,'Debt Schedule'!V36,'Debt Schedule'!V37)</x:f>
        <x:v>0</x:v>
      </x:c>
      <x:c r="W24" s="28" t="n">
        <x:f>MIN(0,'Debt Schedule'!W34,'Debt Schedule'!W35,'Debt Schedule'!W36,'Debt Schedule'!W37)</x:f>
        <x:v>0</x:v>
      </x:c>
      <x:c r="X24" s="28" t="n">
        <x:f>MIN(0,'Debt Schedule'!X34,'Debt Schedule'!X35,'Debt Schedule'!X36,'Debt Schedule'!X37)</x:f>
        <x:v>0</x:v>
      </x:c>
      <x:c r="Y24" s="28" t="n">
        <x:f>MIN(0,'Debt Schedule'!Y34,'Debt Schedule'!Y35,'Debt Schedule'!Y36,'Debt Schedule'!Y37)</x:f>
        <x:v>0</x:v>
      </x:c>
      <x:c r="Z24" s="28" t="n">
        <x:f>MIN(0,'Debt Schedule'!Z34,'Debt Schedule'!Z35,'Debt Schedule'!Z36,'Debt Schedule'!Z37)</x:f>
        <x:v>0</x:v>
      </x:c>
      <x:c r="AA24" s="28" t="n">
        <x:f>MIN(0,'Debt Schedule'!AA34,'Debt Schedule'!AA35,'Debt Schedule'!AA36,'Debt Schedule'!AA37)</x:f>
        <x:v>0</x:v>
      </x:c>
      <x:c r="AB24" s="28" t="n">
        <x:f>MIN(0,'Debt Schedule'!AB34,'Debt Schedule'!AB35,'Debt Schedule'!AB36,'Debt Schedule'!AB37)</x:f>
        <x:v>0</x:v>
      </x:c>
      <x:c r="AC24" s="28" t="n">
        <x:f>MIN(0,'Debt Schedule'!AC34,'Debt Schedule'!AC35,'Debt Schedule'!AC36,'Debt Schedule'!AC37)</x:f>
        <x:v>0</x:v>
      </x:c>
      <x:c r="AD24" s="28" t="n">
        <x:f>MIN(0,'Debt Schedule'!AD34,'Debt Schedule'!AD35,'Debt Schedule'!AD36,'Debt Schedule'!AD37)</x:f>
        <x:v>0</x:v>
      </x:c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32" customHeight="1">
      <x:c r="A27" s="2"/>
      <x:c r="B27" s="2"/>
      <x:c r="C27" s="13" t="str">
        <x:v>Accounting tolerance: $0.000001m. Liquidity shortfall is a modeled economic failure, not a balance-sheet fix.</x:v>
      </x:c>
      <x:c r="D27" s="13"/>
      <x:c r="E27" s="13"/>
      <x:c r="F27" s="13"/>
      <x:c r="G27" s="13"/>
      <x:c r="H27" s="13"/>
      <x:c r="I27" s="13"/>
      <x:c r="J27" s="13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</x:sheetData>
  <x:mergeCells>
    <x:mergeCell ref="C27:J27"/>
  </x:mergeCells>
  <x:conditionalFormatting sqref="D10:D15">
    <x:cfRule type="cellIs" dxfId="0" priority="1" operator="notBetween">
      <x:formula>-0.000001</x:formula>
      <x:formula>0.000001</x:formula>
    </x:cfRule>
  </x:conditionalFormatting>
  <x:conditionalFormatting sqref="D18:H24">
    <x:cfRule type="cellIs" dxfId="1" priority="2" operator="notBetween">
      <x:formula>-0.000001</x:formula>
      <x:formula>0.000001</x:formula>
    </x:cfRule>
  </x:conditionalFormatting>
  <x:conditionalFormatting sqref="K18:AD24">
    <x:cfRule type="cellIs" dxfId="2" priority="3" operator="notBetween">
      <x:formula>-0.000001</x:formula>
      <x:formula>0.000001</x:formula>
    </x:cfRule>
  </x:conditionalFormatting>
  <x:pageMargins left="0.7" right="0.7" top="0.75" bottom="0.75" header="0.3" footer="0.3"/>
</x:worksheet>
</file>